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user\PycharmProjects\DekaExcelAutomation\"/>
    </mc:Choice>
  </mc:AlternateContent>
  <xr:revisionPtr revIDLastSave="0" documentId="13_ncr:1_{D1E9225B-179E-4B67-96EF-D092FEFCBA5F}" xr6:coauthVersionLast="46" xr6:coauthVersionMax="46" xr10:uidLastSave="{00000000-0000-0000-0000-000000000000}"/>
  <bookViews>
    <workbookView showHorizontalScroll="0" showVerticalScroll="0" showSheetTabs="0" xWindow="-108" yWindow="-108" windowWidth="23256" windowHeight="12720" tabRatio="203" xr2:uid="{00000000-000D-0000-FFFF-FFFF00000000}"/>
  </bookViews>
  <sheets>
    <sheet name="Лист1" sheetId="1" r:id="rId1"/>
  </sheets>
  <definedNames>
    <definedName name="_xlnm._FilterDatabase" localSheetId="0" hidden="1">Лист1!$A$1:$T$54</definedName>
  </definedNames>
  <calcPr calcId="191029"/>
</workbook>
</file>

<file path=xl/calcChain.xml><?xml version="1.0" encoding="utf-8"?>
<calcChain xmlns="http://schemas.openxmlformats.org/spreadsheetml/2006/main">
  <c r="Q55" i="1" l="1"/>
  <c r="M55" i="1"/>
  <c r="L55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<sst xmlns="http://schemas.openxmlformats.org/spreadsheetml/2006/main" count="664" uniqueCount="86">
  <si>
    <t>Код</t>
  </si>
  <si>
    <t>Наименование</t>
  </si>
  <si>
    <t>Производитель</t>
  </si>
  <si>
    <t>Марка</t>
  </si>
  <si>
    <t>Модель / тип</t>
  </si>
  <si>
    <t>Страна происхождения</t>
  </si>
  <si>
    <t>Название для декларирования</t>
  </si>
  <si>
    <t>Описание</t>
  </si>
  <si>
    <t>Код ТН ВЭД</t>
  </si>
  <si>
    <t>Кол-во</t>
  </si>
  <si>
    <t>Ед. изм</t>
  </si>
  <si>
    <t>Вес нетто, кг</t>
  </si>
  <si>
    <t>Вес брутто, кг</t>
  </si>
  <si>
    <t>Упаковка</t>
  </si>
  <si>
    <t>Инвойс №, дата</t>
  </si>
  <si>
    <t>Цена за ед., Евро</t>
  </si>
  <si>
    <t>Стоимость, Евро</t>
  </si>
  <si>
    <t>Серт №</t>
  </si>
  <si>
    <t>с</t>
  </si>
  <si>
    <t>по</t>
  </si>
  <si>
    <t>N991A1</t>
  </si>
  <si>
    <t>Example</t>
  </si>
  <si>
    <t>Испания</t>
  </si>
  <si>
    <t>Шт</t>
  </si>
  <si>
    <t>Полиэтиленовый пакет</t>
  </si>
  <si>
    <t>04362021D</t>
  </si>
  <si>
    <t>050200945</t>
  </si>
  <si>
    <t>S03601</t>
  </si>
  <si>
    <t>Картонная коробка</t>
  </si>
  <si>
    <t>070001317</t>
  </si>
  <si>
    <t>052400004</t>
  </si>
  <si>
    <t>C366C1</t>
  </si>
  <si>
    <t>040500253</t>
  </si>
  <si>
    <t>040500048</t>
  </si>
  <si>
    <t>040500024</t>
  </si>
  <si>
    <t>04290102B</t>
  </si>
  <si>
    <t>E094A1</t>
  </si>
  <si>
    <t>070001194</t>
  </si>
  <si>
    <t>070001196</t>
  </si>
  <si>
    <t>F40701</t>
  </si>
  <si>
    <t>Пластиковая бутылка</t>
  </si>
  <si>
    <t>Протокол испытаний №И20201228-012</t>
  </si>
  <si>
    <t>—</t>
  </si>
  <si>
    <t>C442B2</t>
  </si>
  <si>
    <t>L17801</t>
  </si>
  <si>
    <t>030404024</t>
  </si>
  <si>
    <t>Кг</t>
  </si>
  <si>
    <t>Протокол испытаний №И20201228-013</t>
  </si>
  <si>
    <t>050200510</t>
  </si>
  <si>
    <t>L19201</t>
  </si>
  <si>
    <t>052701001</t>
  </si>
  <si>
    <t>N101301</t>
  </si>
  <si>
    <t>070001213</t>
  </si>
  <si>
    <t>080203144</t>
  </si>
  <si>
    <t>F40501</t>
  </si>
  <si>
    <t>070100054</t>
  </si>
  <si>
    <t>050502058</t>
  </si>
  <si>
    <t>050200944</t>
  </si>
  <si>
    <t>080203119</t>
  </si>
  <si>
    <t>080203118</t>
  </si>
  <si>
    <t>080203116</t>
  </si>
  <si>
    <t>070001165A</t>
  </si>
  <si>
    <t>050502037</t>
  </si>
  <si>
    <t>070001195</t>
  </si>
  <si>
    <t>N80601</t>
  </si>
  <si>
    <t>070001092</t>
  </si>
  <si>
    <t>020202351A</t>
  </si>
  <si>
    <t>052700001</t>
  </si>
  <si>
    <t>N722A1</t>
  </si>
  <si>
    <t>04388018A</t>
  </si>
  <si>
    <t>F06901</t>
  </si>
  <si>
    <t>050502001</t>
  </si>
  <si>
    <t>04327100A</t>
  </si>
  <si>
    <t>F241A2</t>
  </si>
  <si>
    <t>080203142</t>
  </si>
  <si>
    <t>080202012</t>
  </si>
  <si>
    <t>020303091</t>
  </si>
  <si>
    <t>080203141</t>
  </si>
  <si>
    <t>F40401</t>
  </si>
  <si>
    <t>F169I2</t>
  </si>
  <si>
    <t>OBM000240</t>
  </si>
  <si>
    <t>1</t>
  </si>
  <si>
    <t>OBM000001</t>
  </si>
  <si>
    <t xml:space="preserve"> </t>
  </si>
  <si>
    <t>Вес нетто кг</t>
  </si>
  <si>
    <t>Вес брутто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</si>
</sst>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_₽"/>
  </numFmts>
  <fonts count="5" x14ac:knownFonts="1">
    <font>
      <sz val="11"/>
      <color rgb="FF000000"/>
      <name val="Calibri"/>
    </font>
    <font>
      <sz val="11"/>
      <color rgb="FF000000"/>
      <name val="Calibri"/>
      <family val="2"/>
      <charset val="204"/>
    </font>
    <font>
      <sz val="8"/>
      <color rgb="FF000000"/>
      <name val="Calibri"/>
      <family val="2"/>
      <charset val="204"/>
    </font>
    <font>
      <b/>
      <sz val="8"/>
      <color rgb="FF000000"/>
      <name val="Calibri"/>
      <family val="2"/>
      <charset val="204"/>
    </font>
    <font>
      <sz val="8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24">
    <xf numFmtId="0" fontId="0" fillId="0" borderId="0" xfId="0"/>
    <xf numFmtId="0" fontId="0" fillId="0" borderId="0" xfId="0"/>
    <xf numFmtId="4" fontId="2" fillId="0" borderId="2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wrapText="1"/>
    </xf>
    <xf numFmtId="4" fontId="3" fillId="0" borderId="0" xfId="0" applyNumberFormat="1" applyFont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 shrinkToFit="1"/>
    </xf>
    <xf numFmtId="0" fontId="3" fillId="0" borderId="1" xfId="0" applyFont="1" applyBorder="1" applyAlignment="1">
      <alignment horizontal="center" vertical="center" wrapText="1" shrinkToFit="1"/>
    </xf>
    <xf numFmtId="0" fontId="3" fillId="0" borderId="3" xfId="0" applyFont="1" applyBorder="1" applyAlignment="1">
      <alignment horizontal="center" vertical="center" wrapText="1" shrinkToFit="1"/>
    </xf>
    <xf numFmtId="2" fontId="3" fillId="0" borderId="1" xfId="0" applyNumberFormat="1" applyFont="1" applyBorder="1" applyAlignment="1">
      <alignment horizontal="center" vertical="center" wrapText="1" shrinkToFit="1"/>
    </xf>
    <xf numFmtId="164" fontId="3" fillId="0" borderId="1" xfId="0" applyNumberFormat="1" applyFont="1" applyBorder="1" applyAlignment="1">
      <alignment horizontal="center" vertical="center" wrapText="1" shrinkToFit="1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Обычный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2147483647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2147483647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pageSetUpPr fitToPage="1"/>
  </sheetPr>
  <dimension ref="A1:W57"/>
  <sheetViews>
    <sheetView tabSelected="1" zoomScale="115" zoomScaleNormal="115" zoomScaleSheetLayoutView="75" workbookViewId="0">
      <pane ySplit="1" topLeftCell="A49" activePane="bottomLeft" state="frozen"/>
      <selection pane="bottomLeft" activeCell="P52" sqref="P52"/>
    </sheetView>
  </sheetViews>
  <sheetFormatPr defaultColWidth="8.88671875" defaultRowHeight="14.4" x14ac:dyDescent="0.3"/>
  <cols>
    <col min="1" max="1" width="8.6640625" style="6" customWidth="1"/>
    <col min="2" max="2" width="12.33203125" style="7" customWidth="1"/>
    <col min="3" max="3" width="8.109375" style="7" customWidth="1"/>
    <col min="4" max="4" width="6.44140625" style="7" customWidth="1"/>
    <col min="5" max="5" width="7.44140625" style="7" customWidth="1"/>
    <col min="6" max="6" width="6.5546875" style="7" customWidth="1"/>
    <col min="7" max="7" width="13" style="7" customWidth="1"/>
    <col min="8" max="8" width="29.44140625" style="7" customWidth="1"/>
    <col min="9" max="9" width="9.44140625" style="7" customWidth="1"/>
    <col min="10" max="10" width="7.109375" style="7" customWidth="1"/>
    <col min="11" max="11" width="6" style="7" customWidth="1"/>
    <col min="12" max="12" width="8.44140625" style="7" customWidth="1"/>
    <col min="13" max="13" width="8.109375" style="7" customWidth="1"/>
    <col min="14" max="14" width="7.5546875" style="7" customWidth="1"/>
    <col min="15" max="15" width="8.88671875" style="7" customWidth="1"/>
    <col min="16" max="16" width="9.109375" style="8" customWidth="1"/>
    <col min="17" max="17" width="11" style="8" customWidth="1"/>
    <col min="18" max="18" width="13.88671875" style="9" customWidth="1"/>
    <col min="19" max="20" width="10.33203125" style="5" bestFit="1" customWidth="1"/>
    <col min="21" max="24" width="8.88671875" style="1" customWidth="1"/>
    <col min="25" max="16384" width="8.88671875" style="1"/>
  </cols>
  <sheetData>
    <row r="1" spans="1:23" ht="30.6" customHeight="1" x14ac:dyDescent="0.3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2" t="s">
        <v>6</v>
      </c>
      <c r="H1" s="12" t="s">
        <v>7</v>
      </c>
      <c r="I1" s="12" t="s">
        <v>8</v>
      </c>
      <c r="J1" s="13" t="s">
        <v>9</v>
      </c>
      <c r="K1" s="14" t="s">
        <v>10</v>
      </c>
      <c r="L1" s="15" t="s">
        <v>11</v>
      </c>
      <c r="M1" s="15" t="s">
        <v>12</v>
      </c>
      <c r="N1" s="15" t="s">
        <v>13</v>
      </c>
      <c r="O1" s="13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</row>
    <row r="2" spans="1:23" s="5" customFormat="1" ht="40.799999999999997" customHeight="1" x14ac:dyDescent="0.2">
      <c r="A2" s="20" t="s">
        <v>20</v>
      </c>
      <c r="B2" s="21" t="s">
        <v>21</v>
      </c>
      <c r="C2" s="21" t="s">
        <v>21</v>
      </c>
      <c r="D2" s="21" t="s">
        <v>21</v>
      </c>
      <c r="E2" s="21" t="s">
        <v>21</v>
      </c>
      <c r="F2" s="20" t="s">
        <v>22</v>
      </c>
      <c r="G2" s="21" t="s">
        <v>21</v>
      </c>
      <c r="H2" s="21" t="s">
        <v>21</v>
      </c>
      <c r="I2" s="21" t="s">
        <v>21</v>
      </c>
      <c r="J2" s="18">
        <v>1</v>
      </c>
      <c r="K2" s="22" t="s">
        <v>23</v>
      </c>
      <c r="L2" s="2">
        <v>0.8</v>
      </c>
      <c r="M2" s="3">
        <v>1.5</v>
      </c>
      <c r="N2" s="23" t="s">
        <v>24</v>
      </c>
      <c r="O2" s="21" t="s">
        <v>21</v>
      </c>
      <c r="P2" s="4"/>
      <c r="Q2" s="4">
        <f t="shared" ref="Q2:Q33" si="0">P2*J2</f>
        <v>0</v>
      </c>
      <c r="R2" s="21"/>
      <c r="S2" s="17"/>
      <c r="T2" s="17"/>
    </row>
    <row r="3" spans="1:23" s="5" customFormat="1" ht="30.6" customHeight="1" x14ac:dyDescent="0.2">
      <c r="A3" s="20" t="s">
        <v>25</v>
      </c>
      <c r="B3" s="21" t="s">
        <v>21</v>
      </c>
      <c r="C3" s="21" t="s">
        <v>21</v>
      </c>
      <c r="D3" s="21" t="s">
        <v>21</v>
      </c>
      <c r="E3" s="21" t="s">
        <v>21</v>
      </c>
      <c r="F3" s="20" t="s">
        <v>22</v>
      </c>
      <c r="G3" s="21" t="s">
        <v>21</v>
      </c>
      <c r="H3" s="21" t="s">
        <v>21</v>
      </c>
      <c r="I3" s="21" t="s">
        <v>21</v>
      </c>
      <c r="J3" s="18">
        <v>1</v>
      </c>
      <c r="K3" s="22" t="s">
        <v>23</v>
      </c>
      <c r="L3" s="2">
        <v>0.2</v>
      </c>
      <c r="M3" s="3">
        <v>0.3</v>
      </c>
      <c r="N3" s="23" t="s">
        <v>24</v>
      </c>
      <c r="O3" s="21" t="s">
        <v>21</v>
      </c>
      <c r="P3" s="4"/>
      <c r="Q3" s="4">
        <f t="shared" si="0"/>
        <v>0</v>
      </c>
      <c r="R3" s="21"/>
      <c r="S3" s="17"/>
      <c r="T3" s="17"/>
    </row>
    <row r="4" spans="1:23" s="5" customFormat="1" ht="61.2" customHeight="1" x14ac:dyDescent="0.2">
      <c r="A4" s="20" t="s">
        <v>26</v>
      </c>
      <c r="B4" s="21" t="s">
        <v>21</v>
      </c>
      <c r="C4" s="21" t="s">
        <v>21</v>
      </c>
      <c r="D4" s="21" t="s">
        <v>21</v>
      </c>
      <c r="E4" s="21" t="s">
        <v>21</v>
      </c>
      <c r="F4" s="20" t="s">
        <v>22</v>
      </c>
      <c r="G4" s="21" t="s">
        <v>21</v>
      </c>
      <c r="H4" s="21" t="s">
        <v>21</v>
      </c>
      <c r="I4" s="21" t="s">
        <v>21</v>
      </c>
      <c r="J4" s="18">
        <v>1</v>
      </c>
      <c r="K4" s="22" t="s">
        <v>23</v>
      </c>
      <c r="L4" s="2">
        <v>0.05</v>
      </c>
      <c r="M4" s="3">
        <v>0.08</v>
      </c>
      <c r="N4" s="23" t="s">
        <v>24</v>
      </c>
      <c r="O4" s="21" t="s">
        <v>21</v>
      </c>
      <c r="P4" s="4"/>
      <c r="Q4" s="4">
        <f t="shared" si="0"/>
        <v>0</v>
      </c>
      <c r="R4" s="21"/>
      <c r="S4" s="19"/>
      <c r="T4" s="19"/>
    </row>
    <row r="5" spans="1:23" s="5" customFormat="1" ht="81.599999999999994" customHeight="1" x14ac:dyDescent="0.2">
      <c r="A5" s="20" t="s">
        <v>27</v>
      </c>
      <c r="B5" s="21" t="s">
        <v>21</v>
      </c>
      <c r="C5" s="21" t="s">
        <v>21</v>
      </c>
      <c r="D5" s="21" t="s">
        <v>21</v>
      </c>
      <c r="E5" s="21" t="s">
        <v>21</v>
      </c>
      <c r="F5" s="20" t="s">
        <v>22</v>
      </c>
      <c r="G5" s="21" t="s">
        <v>21</v>
      </c>
      <c r="H5" s="21" t="s">
        <v>21</v>
      </c>
      <c r="I5" s="21" t="s">
        <v>21</v>
      </c>
      <c r="J5" s="18">
        <v>2</v>
      </c>
      <c r="K5" s="22" t="s">
        <v>23</v>
      </c>
      <c r="L5" s="2">
        <v>4</v>
      </c>
      <c r="M5" s="3">
        <v>6</v>
      </c>
      <c r="N5" s="23" t="s">
        <v>28</v>
      </c>
      <c r="O5" s="21" t="s">
        <v>21</v>
      </c>
      <c r="P5" s="4"/>
      <c r="Q5" s="4">
        <f t="shared" si="0"/>
        <v>0</v>
      </c>
      <c r="R5" s="21" t="s">
        <v>21</v>
      </c>
      <c r="S5" s="17">
        <v>44259</v>
      </c>
      <c r="T5" s="17">
        <v>45353</v>
      </c>
    </row>
    <row r="6" spans="1:23" s="5" customFormat="1" ht="51" customHeight="1" x14ac:dyDescent="0.2">
      <c r="A6" s="20" t="s">
        <v>29</v>
      </c>
      <c r="B6" s="21" t="s">
        <v>21</v>
      </c>
      <c r="C6" s="21" t="s">
        <v>21</v>
      </c>
      <c r="D6" s="21" t="s">
        <v>21</v>
      </c>
      <c r="E6" s="21" t="s">
        <v>21</v>
      </c>
      <c r="F6" s="20" t="s">
        <v>22</v>
      </c>
      <c r="G6" s="21" t="s">
        <v>21</v>
      </c>
      <c r="H6" s="21" t="s">
        <v>21</v>
      </c>
      <c r="I6" s="21" t="s">
        <v>21</v>
      </c>
      <c r="J6" s="18">
        <v>1</v>
      </c>
      <c r="K6" s="22" t="s">
        <v>23</v>
      </c>
      <c r="L6" s="2">
        <v>0.2</v>
      </c>
      <c r="M6" s="3">
        <v>0.3</v>
      </c>
      <c r="N6" s="23" t="s">
        <v>28</v>
      </c>
      <c r="O6" s="21" t="s">
        <v>21</v>
      </c>
      <c r="P6" s="4"/>
      <c r="Q6" s="4">
        <f t="shared" si="0"/>
        <v>0</v>
      </c>
      <c r="R6" s="21" t="s">
        <v>21</v>
      </c>
      <c r="S6" s="17">
        <v>44259</v>
      </c>
      <c r="T6" s="17">
        <v>45353</v>
      </c>
    </row>
    <row r="7" spans="1:23" s="5" customFormat="1" ht="61.2" customHeight="1" x14ac:dyDescent="0.2">
      <c r="A7" s="20" t="s">
        <v>30</v>
      </c>
      <c r="B7" s="21" t="s">
        <v>21</v>
      </c>
      <c r="C7" s="21" t="s">
        <v>21</v>
      </c>
      <c r="D7" s="21" t="s">
        <v>21</v>
      </c>
      <c r="E7" s="21" t="s">
        <v>21</v>
      </c>
      <c r="F7" s="20" t="s">
        <v>22</v>
      </c>
      <c r="G7" s="21" t="s">
        <v>21</v>
      </c>
      <c r="H7" s="21" t="s">
        <v>21</v>
      </c>
      <c r="I7" s="21" t="s">
        <v>21</v>
      </c>
      <c r="J7" s="18">
        <v>3</v>
      </c>
      <c r="K7" s="22" t="s">
        <v>23</v>
      </c>
      <c r="L7" s="2">
        <v>0.15</v>
      </c>
      <c r="M7" s="3">
        <v>0.25</v>
      </c>
      <c r="N7" s="23" t="s">
        <v>24</v>
      </c>
      <c r="O7" s="21" t="s">
        <v>21</v>
      </c>
      <c r="P7" s="4"/>
      <c r="Q7" s="4">
        <f t="shared" si="0"/>
        <v>0</v>
      </c>
      <c r="R7" s="21"/>
      <c r="S7" s="19"/>
      <c r="T7" s="19"/>
    </row>
    <row r="8" spans="1:23" s="5" customFormat="1" ht="102" customHeight="1" x14ac:dyDescent="0.2">
      <c r="A8" s="20" t="s">
        <v>31</v>
      </c>
      <c r="B8" s="21" t="s">
        <v>21</v>
      </c>
      <c r="C8" s="21" t="s">
        <v>21</v>
      </c>
      <c r="D8" s="21" t="s">
        <v>21</v>
      </c>
      <c r="E8" s="21" t="s">
        <v>21</v>
      </c>
      <c r="F8" s="20" t="s">
        <v>22</v>
      </c>
      <c r="G8" s="21" t="s">
        <v>21</v>
      </c>
      <c r="H8" s="21" t="s">
        <v>21</v>
      </c>
      <c r="I8" s="21" t="s">
        <v>21</v>
      </c>
      <c r="J8" s="18">
        <v>1</v>
      </c>
      <c r="K8" s="22" t="s">
        <v>23</v>
      </c>
      <c r="L8" s="2">
        <v>0.2</v>
      </c>
      <c r="M8" s="3">
        <v>0.35</v>
      </c>
      <c r="N8" s="23" t="s">
        <v>24</v>
      </c>
      <c r="O8" s="21" t="s">
        <v>21</v>
      </c>
      <c r="P8" s="4"/>
      <c r="Q8" s="4">
        <f t="shared" si="0"/>
        <v>0</v>
      </c>
      <c r="R8" s="21"/>
      <c r="S8" s="17"/>
      <c r="T8" s="17"/>
    </row>
    <row r="9" spans="1:23" s="5" customFormat="1" ht="40.799999999999997" customHeight="1" x14ac:dyDescent="0.2">
      <c r="A9" s="20" t="s">
        <v>32</v>
      </c>
      <c r="B9" s="21" t="s">
        <v>21</v>
      </c>
      <c r="C9" s="21" t="s">
        <v>21</v>
      </c>
      <c r="D9" s="21" t="s">
        <v>21</v>
      </c>
      <c r="E9" s="21" t="s">
        <v>21</v>
      </c>
      <c r="F9" s="20" t="s">
        <v>22</v>
      </c>
      <c r="G9" s="21" t="s">
        <v>21</v>
      </c>
      <c r="H9" s="21" t="s">
        <v>21</v>
      </c>
      <c r="I9" s="21" t="s">
        <v>21</v>
      </c>
      <c r="J9" s="18">
        <v>14</v>
      </c>
      <c r="K9" s="22" t="s">
        <v>23</v>
      </c>
      <c r="L9" s="2">
        <v>0.2</v>
      </c>
      <c r="M9" s="3">
        <v>0.3</v>
      </c>
      <c r="N9" s="23" t="s">
        <v>24</v>
      </c>
      <c r="O9" s="21" t="s">
        <v>21</v>
      </c>
      <c r="P9" s="4"/>
      <c r="Q9" s="4">
        <f t="shared" si="0"/>
        <v>0</v>
      </c>
      <c r="R9" s="21"/>
      <c r="S9" s="17"/>
      <c r="T9" s="17"/>
    </row>
    <row r="10" spans="1:23" s="5" customFormat="1" ht="40.799999999999997" customHeight="1" x14ac:dyDescent="0.2">
      <c r="A10" s="20" t="s">
        <v>33</v>
      </c>
      <c r="B10" s="21" t="s">
        <v>21</v>
      </c>
      <c r="C10" s="21" t="s">
        <v>21</v>
      </c>
      <c r="D10" s="21" t="s">
        <v>21</v>
      </c>
      <c r="E10" s="21" t="s">
        <v>21</v>
      </c>
      <c r="F10" s="20" t="s">
        <v>22</v>
      </c>
      <c r="G10" s="21" t="s">
        <v>21</v>
      </c>
      <c r="H10" s="21" t="s">
        <v>21</v>
      </c>
      <c r="I10" s="21" t="s">
        <v>21</v>
      </c>
      <c r="J10" s="18">
        <v>6</v>
      </c>
      <c r="K10" s="22" t="s">
        <v>23</v>
      </c>
      <c r="L10" s="2">
        <v>0.1</v>
      </c>
      <c r="M10" s="3">
        <v>0.15</v>
      </c>
      <c r="N10" s="23" t="s">
        <v>24</v>
      </c>
      <c r="O10" s="21" t="s">
        <v>21</v>
      </c>
      <c r="P10" s="4"/>
      <c r="Q10" s="4">
        <f t="shared" si="0"/>
        <v>0</v>
      </c>
      <c r="R10" s="21"/>
      <c r="S10" s="17"/>
      <c r="T10" s="18"/>
    </row>
    <row r="11" spans="1:23" s="5" customFormat="1" ht="40.799999999999997" customHeight="1" x14ac:dyDescent="0.2">
      <c r="A11" s="20" t="s">
        <v>34</v>
      </c>
      <c r="B11" s="21" t="s">
        <v>21</v>
      </c>
      <c r="C11" s="21" t="s">
        <v>21</v>
      </c>
      <c r="D11" s="21" t="s">
        <v>21</v>
      </c>
      <c r="E11" s="21" t="s">
        <v>21</v>
      </c>
      <c r="F11" s="20" t="s">
        <v>22</v>
      </c>
      <c r="G11" s="21" t="s">
        <v>21</v>
      </c>
      <c r="H11" s="21" t="s">
        <v>21</v>
      </c>
      <c r="I11" s="21" t="s">
        <v>21</v>
      </c>
      <c r="J11" s="18">
        <v>2</v>
      </c>
      <c r="K11" s="22" t="s">
        <v>23</v>
      </c>
      <c r="L11" s="2">
        <v>0.08</v>
      </c>
      <c r="M11" s="3">
        <v>0.1</v>
      </c>
      <c r="N11" s="23" t="s">
        <v>24</v>
      </c>
      <c r="O11" s="21" t="s">
        <v>21</v>
      </c>
      <c r="P11" s="4"/>
      <c r="Q11" s="4">
        <f t="shared" si="0"/>
        <v>0</v>
      </c>
      <c r="R11" s="21"/>
      <c r="S11" s="17"/>
      <c r="T11" s="17"/>
    </row>
    <row r="12" spans="1:23" s="5" customFormat="1" ht="30.6" customHeight="1" x14ac:dyDescent="0.2">
      <c r="A12" s="20" t="s">
        <v>35</v>
      </c>
      <c r="B12" s="21" t="s">
        <v>21</v>
      </c>
      <c r="C12" s="21" t="s">
        <v>21</v>
      </c>
      <c r="D12" s="21" t="s">
        <v>21</v>
      </c>
      <c r="E12" s="21" t="s">
        <v>21</v>
      </c>
      <c r="F12" s="20" t="s">
        <v>22</v>
      </c>
      <c r="G12" s="21" t="s">
        <v>21</v>
      </c>
      <c r="H12" s="21" t="s">
        <v>21</v>
      </c>
      <c r="I12" s="21" t="s">
        <v>21</v>
      </c>
      <c r="J12" s="18">
        <v>3</v>
      </c>
      <c r="K12" s="22" t="s">
        <v>23</v>
      </c>
      <c r="L12" s="2">
        <v>0.9</v>
      </c>
      <c r="M12" s="3">
        <v>1.5</v>
      </c>
      <c r="N12" s="23" t="s">
        <v>24</v>
      </c>
      <c r="O12" s="21" t="s">
        <v>21</v>
      </c>
      <c r="P12" s="4"/>
      <c r="Q12" s="4">
        <f t="shared" si="0"/>
        <v>0</v>
      </c>
      <c r="R12" s="21"/>
      <c r="S12" s="17"/>
      <c r="T12" s="17"/>
    </row>
    <row r="13" spans="1:23" s="5" customFormat="1" ht="40.799999999999997" customHeight="1" x14ac:dyDescent="0.2">
      <c r="A13" s="20" t="s">
        <v>36</v>
      </c>
      <c r="B13" s="21" t="s">
        <v>21</v>
      </c>
      <c r="C13" s="21" t="s">
        <v>21</v>
      </c>
      <c r="D13" s="21" t="s">
        <v>21</v>
      </c>
      <c r="E13" s="21" t="s">
        <v>21</v>
      </c>
      <c r="F13" s="20" t="s">
        <v>22</v>
      </c>
      <c r="G13" s="21" t="s">
        <v>21</v>
      </c>
      <c r="H13" s="21" t="s">
        <v>21</v>
      </c>
      <c r="I13" s="21" t="s">
        <v>21</v>
      </c>
      <c r="J13" s="18">
        <v>1</v>
      </c>
      <c r="K13" s="22" t="s">
        <v>23</v>
      </c>
      <c r="L13" s="2">
        <v>0.3</v>
      </c>
      <c r="M13" s="3">
        <v>0.5</v>
      </c>
      <c r="N13" s="23" t="s">
        <v>28</v>
      </c>
      <c r="O13" s="21" t="s">
        <v>21</v>
      </c>
      <c r="P13" s="4"/>
      <c r="Q13" s="4">
        <f t="shared" si="0"/>
        <v>0</v>
      </c>
      <c r="R13" s="21"/>
      <c r="S13" s="17"/>
      <c r="T13" s="17"/>
    </row>
    <row r="14" spans="1:23" s="5" customFormat="1" ht="51" customHeight="1" x14ac:dyDescent="0.2">
      <c r="A14" s="20" t="s">
        <v>37</v>
      </c>
      <c r="B14" s="21" t="s">
        <v>21</v>
      </c>
      <c r="C14" s="21" t="s">
        <v>21</v>
      </c>
      <c r="D14" s="21" t="s">
        <v>21</v>
      </c>
      <c r="E14" s="21" t="s">
        <v>21</v>
      </c>
      <c r="F14" s="20" t="s">
        <v>22</v>
      </c>
      <c r="G14" s="21" t="s">
        <v>21</v>
      </c>
      <c r="H14" s="21" t="s">
        <v>21</v>
      </c>
      <c r="I14" s="21" t="s">
        <v>21</v>
      </c>
      <c r="J14" s="18">
        <v>2</v>
      </c>
      <c r="K14" s="22" t="s">
        <v>23</v>
      </c>
      <c r="L14" s="2">
        <v>0.1</v>
      </c>
      <c r="M14" s="3">
        <v>0.15</v>
      </c>
      <c r="N14" s="23" t="s">
        <v>24</v>
      </c>
      <c r="O14" s="21" t="s">
        <v>21</v>
      </c>
      <c r="P14" s="4"/>
      <c r="Q14" s="4">
        <f t="shared" si="0"/>
        <v>0</v>
      </c>
      <c r="R14" s="21"/>
      <c r="S14" s="17"/>
      <c r="T14" s="17"/>
    </row>
    <row r="15" spans="1:23" s="5" customFormat="1" ht="61.2" customHeight="1" x14ac:dyDescent="0.2">
      <c r="A15" s="20" t="s">
        <v>38</v>
      </c>
      <c r="B15" s="21" t="s">
        <v>21</v>
      </c>
      <c r="C15" s="21" t="s">
        <v>21</v>
      </c>
      <c r="D15" s="21" t="s">
        <v>21</v>
      </c>
      <c r="E15" s="21" t="s">
        <v>21</v>
      </c>
      <c r="F15" s="20" t="s">
        <v>22</v>
      </c>
      <c r="G15" s="21" t="s">
        <v>21</v>
      </c>
      <c r="H15" s="21" t="s">
        <v>21</v>
      </c>
      <c r="I15" s="21" t="s">
        <v>21</v>
      </c>
      <c r="J15" s="18">
        <v>2</v>
      </c>
      <c r="K15" s="22" t="s">
        <v>23</v>
      </c>
      <c r="L15" s="2">
        <v>0.1</v>
      </c>
      <c r="M15" s="3">
        <v>0.15</v>
      </c>
      <c r="N15" s="23" t="s">
        <v>24</v>
      </c>
      <c r="O15" s="21" t="s">
        <v>21</v>
      </c>
      <c r="P15" s="4"/>
      <c r="Q15" s="4">
        <f t="shared" si="0"/>
        <v>0</v>
      </c>
      <c r="R15" s="21"/>
      <c r="S15" s="17"/>
      <c r="T15" s="17"/>
    </row>
    <row r="16" spans="1:23" s="5" customFormat="1" ht="51" customHeight="1" x14ac:dyDescent="0.2">
      <c r="A16" s="20" t="s">
        <v>39</v>
      </c>
      <c r="B16" s="21" t="s">
        <v>21</v>
      </c>
      <c r="C16" s="21" t="s">
        <v>21</v>
      </c>
      <c r="D16" s="21" t="s">
        <v>21</v>
      </c>
      <c r="E16" s="21" t="s">
        <v>21</v>
      </c>
      <c r="F16" s="20" t="s">
        <v>22</v>
      </c>
      <c r="G16" s="21" t="s">
        <v>21</v>
      </c>
      <c r="H16" s="21" t="s">
        <v>21</v>
      </c>
      <c r="I16" s="21" t="s">
        <v>21</v>
      </c>
      <c r="J16" s="18">
        <v>9</v>
      </c>
      <c r="K16" s="22" t="s">
        <v>23</v>
      </c>
      <c r="L16" s="2">
        <v>9</v>
      </c>
      <c r="M16" s="3">
        <v>13</v>
      </c>
      <c r="N16" s="23" t="s">
        <v>40</v>
      </c>
      <c r="O16" s="21" t="s">
        <v>21</v>
      </c>
      <c r="P16" s="4"/>
      <c r="Q16" s="4">
        <f t="shared" si="0"/>
        <v>0</v>
      </c>
      <c r="R16" s="21"/>
      <c r="S16" s="17"/>
      <c r="T16" s="17"/>
      <c r="U16" s="21" t="s">
        <v>41</v>
      </c>
      <c r="V16" s="17">
        <v>44193</v>
      </c>
      <c r="W16" s="18" t="s">
        <v>42</v>
      </c>
    </row>
    <row r="17" spans="1:23" s="5" customFormat="1" ht="102" customHeight="1" x14ac:dyDescent="0.2">
      <c r="A17" s="20" t="s">
        <v>43</v>
      </c>
      <c r="B17" s="21" t="s">
        <v>21</v>
      </c>
      <c r="C17" s="21" t="s">
        <v>21</v>
      </c>
      <c r="D17" s="21" t="s">
        <v>21</v>
      </c>
      <c r="E17" s="21" t="s">
        <v>21</v>
      </c>
      <c r="F17" s="20" t="s">
        <v>22</v>
      </c>
      <c r="G17" s="21" t="s">
        <v>21</v>
      </c>
      <c r="H17" s="21" t="s">
        <v>21</v>
      </c>
      <c r="I17" s="21" t="s">
        <v>21</v>
      </c>
      <c r="J17" s="18">
        <v>2</v>
      </c>
      <c r="K17" s="22" t="s">
        <v>23</v>
      </c>
      <c r="L17" s="2">
        <v>0.6</v>
      </c>
      <c r="M17" s="3">
        <v>0.8</v>
      </c>
      <c r="N17" s="23" t="s">
        <v>24</v>
      </c>
      <c r="O17" s="21" t="s">
        <v>21</v>
      </c>
      <c r="P17" s="4"/>
      <c r="Q17" s="4">
        <f t="shared" si="0"/>
        <v>0</v>
      </c>
      <c r="R17" s="21"/>
      <c r="S17" s="19"/>
      <c r="T17" s="19"/>
    </row>
    <row r="18" spans="1:23" s="5" customFormat="1" ht="40.799999999999997" customHeight="1" x14ac:dyDescent="0.2">
      <c r="A18" s="20" t="s">
        <v>44</v>
      </c>
      <c r="B18" s="21" t="s">
        <v>21</v>
      </c>
      <c r="C18" s="21" t="s">
        <v>21</v>
      </c>
      <c r="D18" s="21" t="s">
        <v>21</v>
      </c>
      <c r="E18" s="21" t="s">
        <v>21</v>
      </c>
      <c r="F18" s="20" t="s">
        <v>22</v>
      </c>
      <c r="G18" s="21" t="s">
        <v>21</v>
      </c>
      <c r="H18" s="21" t="s">
        <v>21</v>
      </c>
      <c r="I18" s="21" t="s">
        <v>21</v>
      </c>
      <c r="J18" s="18">
        <v>1</v>
      </c>
      <c r="K18" s="22" t="s">
        <v>23</v>
      </c>
      <c r="L18" s="2">
        <v>0.3</v>
      </c>
      <c r="M18" s="3">
        <v>0.45</v>
      </c>
      <c r="N18" s="23" t="s">
        <v>24</v>
      </c>
      <c r="O18" s="21" t="s">
        <v>21</v>
      </c>
      <c r="P18" s="4"/>
      <c r="Q18" s="4">
        <f t="shared" si="0"/>
        <v>0</v>
      </c>
      <c r="R18" s="21" t="s">
        <v>21</v>
      </c>
      <c r="S18" s="17">
        <v>44279</v>
      </c>
      <c r="T18" s="17">
        <v>45374</v>
      </c>
    </row>
    <row r="19" spans="1:23" s="5" customFormat="1" ht="71.400000000000006" customHeight="1" x14ac:dyDescent="0.2">
      <c r="A19" s="20" t="s">
        <v>45</v>
      </c>
      <c r="B19" s="21" t="s">
        <v>21</v>
      </c>
      <c r="C19" s="21" t="s">
        <v>21</v>
      </c>
      <c r="D19" s="21" t="s">
        <v>21</v>
      </c>
      <c r="E19" s="21" t="s">
        <v>21</v>
      </c>
      <c r="F19" s="20" t="s">
        <v>22</v>
      </c>
      <c r="G19" s="21" t="s">
        <v>21</v>
      </c>
      <c r="H19" s="21" t="s">
        <v>21</v>
      </c>
      <c r="I19" s="21" t="s">
        <v>21</v>
      </c>
      <c r="J19" s="18">
        <v>2</v>
      </c>
      <c r="K19" s="22" t="s">
        <v>46</v>
      </c>
      <c r="L19" s="2">
        <v>2</v>
      </c>
      <c r="M19" s="3">
        <v>2.2999999999999998</v>
      </c>
      <c r="N19" s="23" t="s">
        <v>40</v>
      </c>
      <c r="O19" s="21" t="s">
        <v>21</v>
      </c>
      <c r="P19" s="4"/>
      <c r="Q19" s="4">
        <f t="shared" si="0"/>
        <v>0</v>
      </c>
      <c r="R19" s="21"/>
      <c r="S19" s="17"/>
      <c r="T19" s="17"/>
      <c r="U19" s="21" t="s">
        <v>47</v>
      </c>
      <c r="V19" s="17">
        <v>44193</v>
      </c>
      <c r="W19" s="18" t="s">
        <v>42</v>
      </c>
    </row>
    <row r="20" spans="1:23" s="5" customFormat="1" ht="30.6" customHeight="1" x14ac:dyDescent="0.2">
      <c r="A20" s="20" t="s">
        <v>48</v>
      </c>
      <c r="B20" s="21" t="s">
        <v>21</v>
      </c>
      <c r="C20" s="21" t="s">
        <v>21</v>
      </c>
      <c r="D20" s="21" t="s">
        <v>21</v>
      </c>
      <c r="E20" s="21" t="s">
        <v>21</v>
      </c>
      <c r="F20" s="20" t="s">
        <v>22</v>
      </c>
      <c r="G20" s="21" t="s">
        <v>21</v>
      </c>
      <c r="H20" s="21" t="s">
        <v>21</v>
      </c>
      <c r="I20" s="21" t="s">
        <v>21</v>
      </c>
      <c r="J20" s="18">
        <v>1</v>
      </c>
      <c r="K20" s="22" t="s">
        <v>23</v>
      </c>
      <c r="L20" s="2">
        <v>0.05</v>
      </c>
      <c r="M20" s="3">
        <v>0.08</v>
      </c>
      <c r="N20" s="23" t="s">
        <v>24</v>
      </c>
      <c r="O20" s="21" t="s">
        <v>21</v>
      </c>
      <c r="P20" s="4"/>
      <c r="Q20" s="4">
        <f t="shared" si="0"/>
        <v>0</v>
      </c>
      <c r="R20" s="21"/>
      <c r="S20" s="17"/>
      <c r="T20" s="17"/>
    </row>
    <row r="21" spans="1:23" s="5" customFormat="1" ht="61.2" customHeight="1" x14ac:dyDescent="0.2">
      <c r="A21" s="20" t="s">
        <v>49</v>
      </c>
      <c r="B21" s="21" t="s">
        <v>21</v>
      </c>
      <c r="C21" s="21" t="s">
        <v>21</v>
      </c>
      <c r="D21" s="21" t="s">
        <v>21</v>
      </c>
      <c r="E21" s="21" t="s">
        <v>21</v>
      </c>
      <c r="F21" s="20" t="s">
        <v>22</v>
      </c>
      <c r="G21" s="21" t="s">
        <v>21</v>
      </c>
      <c r="H21" s="21" t="s">
        <v>21</v>
      </c>
      <c r="I21" s="21" t="s">
        <v>21</v>
      </c>
      <c r="J21" s="18">
        <v>1</v>
      </c>
      <c r="K21" s="22" t="s">
        <v>23</v>
      </c>
      <c r="L21" s="2">
        <v>0.2</v>
      </c>
      <c r="M21" s="3">
        <v>0.3</v>
      </c>
      <c r="N21" s="23" t="s">
        <v>24</v>
      </c>
      <c r="O21" s="21" t="s">
        <v>21</v>
      </c>
      <c r="P21" s="4"/>
      <c r="Q21" s="4">
        <f t="shared" si="0"/>
        <v>0</v>
      </c>
      <c r="R21" s="21" t="s">
        <v>21</v>
      </c>
      <c r="S21" s="19">
        <v>45355</v>
      </c>
      <c r="T21" s="19">
        <v>45353</v>
      </c>
    </row>
    <row r="22" spans="1:23" s="5" customFormat="1" ht="30.6" customHeight="1" x14ac:dyDescent="0.2">
      <c r="A22" s="20" t="s">
        <v>50</v>
      </c>
      <c r="B22" s="21" t="s">
        <v>21</v>
      </c>
      <c r="C22" s="21" t="s">
        <v>21</v>
      </c>
      <c r="D22" s="21" t="s">
        <v>21</v>
      </c>
      <c r="E22" s="21" t="s">
        <v>21</v>
      </c>
      <c r="F22" s="20" t="s">
        <v>22</v>
      </c>
      <c r="G22" s="21" t="s">
        <v>21</v>
      </c>
      <c r="H22" s="21" t="s">
        <v>21</v>
      </c>
      <c r="I22" s="21" t="s">
        <v>21</v>
      </c>
      <c r="J22" s="18">
        <v>3</v>
      </c>
      <c r="K22" s="22" t="s">
        <v>23</v>
      </c>
      <c r="L22" s="2">
        <v>0.1</v>
      </c>
      <c r="M22" s="3">
        <v>0.15</v>
      </c>
      <c r="N22" s="23" t="s">
        <v>24</v>
      </c>
      <c r="O22" s="21" t="s">
        <v>21</v>
      </c>
      <c r="P22" s="4"/>
      <c r="Q22" s="4">
        <f t="shared" si="0"/>
        <v>0</v>
      </c>
      <c r="R22" s="21"/>
      <c r="S22" s="17"/>
      <c r="T22" s="17"/>
    </row>
    <row r="23" spans="1:23" s="5" customFormat="1" ht="61.2" customHeight="1" x14ac:dyDescent="0.2">
      <c r="A23" s="20" t="s">
        <v>51</v>
      </c>
      <c r="B23" s="21" t="s">
        <v>21</v>
      </c>
      <c r="C23" s="21" t="s">
        <v>21</v>
      </c>
      <c r="D23" s="21" t="s">
        <v>21</v>
      </c>
      <c r="E23" s="21" t="s">
        <v>21</v>
      </c>
      <c r="F23" s="20" t="s">
        <v>22</v>
      </c>
      <c r="G23" s="21" t="s">
        <v>21</v>
      </c>
      <c r="H23" s="21" t="s">
        <v>21</v>
      </c>
      <c r="I23" s="21" t="s">
        <v>21</v>
      </c>
      <c r="J23" s="18">
        <v>1</v>
      </c>
      <c r="K23" s="22" t="s">
        <v>23</v>
      </c>
      <c r="L23" s="2">
        <v>0.2</v>
      </c>
      <c r="M23" s="3">
        <v>0.3</v>
      </c>
      <c r="N23" s="23" t="s">
        <v>24</v>
      </c>
      <c r="O23" s="21" t="s">
        <v>21</v>
      </c>
      <c r="P23" s="4"/>
      <c r="Q23" s="4">
        <f t="shared" si="0"/>
        <v>0</v>
      </c>
      <c r="R23" s="21"/>
      <c r="S23" s="17"/>
      <c r="T23" s="17"/>
    </row>
    <row r="24" spans="1:23" s="5" customFormat="1" ht="163.19999999999999" customHeight="1" x14ac:dyDescent="0.2">
      <c r="A24" s="20" t="s">
        <v>52</v>
      </c>
      <c r="B24" s="21" t="s">
        <v>21</v>
      </c>
      <c r="C24" s="21" t="s">
        <v>21</v>
      </c>
      <c r="D24" s="21" t="s">
        <v>21</v>
      </c>
      <c r="E24" s="21" t="s">
        <v>21</v>
      </c>
      <c r="F24" s="20" t="s">
        <v>22</v>
      </c>
      <c r="G24" s="21" t="s">
        <v>21</v>
      </c>
      <c r="H24" s="21" t="s">
        <v>21</v>
      </c>
      <c r="I24" s="21" t="s">
        <v>21</v>
      </c>
      <c r="J24" s="18">
        <v>1</v>
      </c>
      <c r="K24" s="22" t="s">
        <v>23</v>
      </c>
      <c r="L24" s="2">
        <v>0.25</v>
      </c>
      <c r="M24" s="3">
        <v>0.35</v>
      </c>
      <c r="N24" s="23" t="s">
        <v>40</v>
      </c>
      <c r="O24" s="21" t="s">
        <v>21</v>
      </c>
      <c r="P24" s="4"/>
      <c r="Q24" s="4">
        <f t="shared" si="0"/>
        <v>0</v>
      </c>
      <c r="R24" s="21"/>
      <c r="S24" s="17"/>
      <c r="T24" s="17"/>
    </row>
    <row r="25" spans="1:23" s="5" customFormat="1" ht="51" customHeight="1" x14ac:dyDescent="0.2">
      <c r="A25" s="20" t="s">
        <v>53</v>
      </c>
      <c r="B25" s="21" t="s">
        <v>21</v>
      </c>
      <c r="C25" s="21" t="s">
        <v>21</v>
      </c>
      <c r="D25" s="21" t="s">
        <v>21</v>
      </c>
      <c r="E25" s="21" t="s">
        <v>21</v>
      </c>
      <c r="F25" s="20" t="s">
        <v>22</v>
      </c>
      <c r="G25" s="21" t="s">
        <v>21</v>
      </c>
      <c r="H25" s="21" t="s">
        <v>21</v>
      </c>
      <c r="I25" s="21" t="s">
        <v>21</v>
      </c>
      <c r="J25" s="18">
        <v>1</v>
      </c>
      <c r="K25" s="22" t="s">
        <v>23</v>
      </c>
      <c r="L25" s="2">
        <v>0.05</v>
      </c>
      <c r="M25" s="3">
        <v>0.08</v>
      </c>
      <c r="N25" s="23" t="s">
        <v>24</v>
      </c>
      <c r="O25" s="21" t="s">
        <v>21</v>
      </c>
      <c r="P25" s="4"/>
      <c r="Q25" s="4">
        <f t="shared" si="0"/>
        <v>0</v>
      </c>
      <c r="R25" s="21"/>
      <c r="S25" s="17"/>
      <c r="T25" s="17"/>
    </row>
    <row r="26" spans="1:23" s="5" customFormat="1" ht="51" customHeight="1" x14ac:dyDescent="0.2">
      <c r="A26" s="20" t="s">
        <v>54</v>
      </c>
      <c r="B26" s="21" t="s">
        <v>21</v>
      </c>
      <c r="C26" s="21" t="s">
        <v>21</v>
      </c>
      <c r="D26" s="21" t="s">
        <v>21</v>
      </c>
      <c r="E26" s="21" t="s">
        <v>21</v>
      </c>
      <c r="F26" s="20" t="s">
        <v>22</v>
      </c>
      <c r="G26" s="21" t="s">
        <v>21</v>
      </c>
      <c r="H26" s="21" t="s">
        <v>21</v>
      </c>
      <c r="I26" s="21" t="s">
        <v>21</v>
      </c>
      <c r="J26" s="18">
        <v>4</v>
      </c>
      <c r="K26" s="22" t="s">
        <v>23</v>
      </c>
      <c r="L26" s="2">
        <v>40</v>
      </c>
      <c r="M26" s="3">
        <v>45</v>
      </c>
      <c r="N26" s="23" t="s">
        <v>40</v>
      </c>
      <c r="O26" s="21" t="s">
        <v>21</v>
      </c>
      <c r="P26" s="4"/>
      <c r="Q26" s="4">
        <f t="shared" si="0"/>
        <v>0</v>
      </c>
      <c r="R26" s="21"/>
      <c r="S26" s="17"/>
      <c r="T26" s="17"/>
      <c r="U26" s="21" t="s">
        <v>41</v>
      </c>
      <c r="V26" s="17">
        <v>44193</v>
      </c>
      <c r="W26" s="18" t="s">
        <v>42</v>
      </c>
    </row>
    <row r="27" spans="1:23" s="5" customFormat="1" ht="51" customHeight="1" x14ac:dyDescent="0.2">
      <c r="A27" s="20" t="s">
        <v>55</v>
      </c>
      <c r="B27" s="21" t="s">
        <v>21</v>
      </c>
      <c r="C27" s="21" t="s">
        <v>21</v>
      </c>
      <c r="D27" s="21" t="s">
        <v>21</v>
      </c>
      <c r="E27" s="21" t="s">
        <v>21</v>
      </c>
      <c r="F27" s="20" t="s">
        <v>22</v>
      </c>
      <c r="G27" s="21" t="s">
        <v>21</v>
      </c>
      <c r="H27" s="21" t="s">
        <v>21</v>
      </c>
      <c r="I27" s="21" t="s">
        <v>21</v>
      </c>
      <c r="J27" s="18">
        <v>1</v>
      </c>
      <c r="K27" s="22" t="s">
        <v>23</v>
      </c>
      <c r="L27" s="2">
        <v>0.3</v>
      </c>
      <c r="M27" s="3">
        <v>0.5</v>
      </c>
      <c r="N27" s="23" t="s">
        <v>28</v>
      </c>
      <c r="O27" s="21" t="s">
        <v>21</v>
      </c>
      <c r="P27" s="4"/>
      <c r="Q27" s="4">
        <f t="shared" si="0"/>
        <v>0</v>
      </c>
      <c r="R27" s="21"/>
      <c r="S27" s="17"/>
      <c r="T27" s="17"/>
    </row>
    <row r="28" spans="1:23" s="5" customFormat="1" ht="40.799999999999997" customHeight="1" x14ac:dyDescent="0.2">
      <c r="A28" s="20" t="s">
        <v>56</v>
      </c>
      <c r="B28" s="21" t="s">
        <v>21</v>
      </c>
      <c r="C28" s="21" t="s">
        <v>21</v>
      </c>
      <c r="D28" s="21" t="s">
        <v>21</v>
      </c>
      <c r="E28" s="21" t="s">
        <v>21</v>
      </c>
      <c r="F28" s="20" t="s">
        <v>22</v>
      </c>
      <c r="G28" s="21" t="s">
        <v>21</v>
      </c>
      <c r="H28" s="21" t="s">
        <v>21</v>
      </c>
      <c r="I28" s="21" t="s">
        <v>21</v>
      </c>
      <c r="J28" s="18">
        <v>7</v>
      </c>
      <c r="K28" s="22" t="s">
        <v>23</v>
      </c>
      <c r="L28" s="2">
        <v>1</v>
      </c>
      <c r="M28" s="3">
        <v>1.3</v>
      </c>
      <c r="N28" s="23" t="s">
        <v>24</v>
      </c>
      <c r="O28" s="21" t="s">
        <v>21</v>
      </c>
      <c r="P28" s="4"/>
      <c r="Q28" s="4">
        <f t="shared" si="0"/>
        <v>0</v>
      </c>
      <c r="R28" s="21"/>
      <c r="S28" s="17"/>
      <c r="T28" s="17"/>
    </row>
    <row r="29" spans="1:23" s="5" customFormat="1" ht="91.8" customHeight="1" x14ac:dyDescent="0.2">
      <c r="A29" s="20" t="s">
        <v>57</v>
      </c>
      <c r="B29" s="21" t="s">
        <v>21</v>
      </c>
      <c r="C29" s="21" t="s">
        <v>21</v>
      </c>
      <c r="D29" s="21" t="s">
        <v>21</v>
      </c>
      <c r="E29" s="21" t="s">
        <v>21</v>
      </c>
      <c r="F29" s="20" t="s">
        <v>22</v>
      </c>
      <c r="G29" s="21" t="s">
        <v>21</v>
      </c>
      <c r="H29" s="21" t="s">
        <v>21</v>
      </c>
      <c r="I29" s="21" t="s">
        <v>21</v>
      </c>
      <c r="J29" s="18">
        <v>4</v>
      </c>
      <c r="K29" s="22" t="s">
        <v>23</v>
      </c>
      <c r="L29" s="2">
        <v>0.2</v>
      </c>
      <c r="M29" s="3">
        <v>0.3</v>
      </c>
      <c r="N29" s="23" t="s">
        <v>24</v>
      </c>
      <c r="O29" s="21" t="s">
        <v>21</v>
      </c>
      <c r="P29" s="4"/>
      <c r="Q29" s="4">
        <f t="shared" si="0"/>
        <v>0</v>
      </c>
      <c r="R29" s="21"/>
      <c r="S29" s="17"/>
      <c r="T29" s="17"/>
    </row>
    <row r="30" spans="1:23" s="5" customFormat="1" ht="51" customHeight="1" x14ac:dyDescent="0.2">
      <c r="A30" s="20" t="s">
        <v>58</v>
      </c>
      <c r="B30" s="21" t="s">
        <v>21</v>
      </c>
      <c r="C30" s="21" t="s">
        <v>21</v>
      </c>
      <c r="D30" s="21" t="s">
        <v>21</v>
      </c>
      <c r="E30" s="21" t="s">
        <v>21</v>
      </c>
      <c r="F30" s="20" t="s">
        <v>22</v>
      </c>
      <c r="G30" s="21" t="s">
        <v>21</v>
      </c>
      <c r="H30" s="21" t="s">
        <v>21</v>
      </c>
      <c r="I30" s="21" t="s">
        <v>21</v>
      </c>
      <c r="J30" s="18">
        <v>1</v>
      </c>
      <c r="K30" s="22" t="s">
        <v>23</v>
      </c>
      <c r="L30" s="2">
        <v>0.05</v>
      </c>
      <c r="M30" s="3">
        <v>0.08</v>
      </c>
      <c r="N30" s="23" t="s">
        <v>24</v>
      </c>
      <c r="O30" s="21" t="s">
        <v>21</v>
      </c>
      <c r="P30" s="4"/>
      <c r="Q30" s="4">
        <f t="shared" si="0"/>
        <v>0</v>
      </c>
      <c r="R30" s="21"/>
      <c r="S30" s="17"/>
      <c r="T30" s="17"/>
    </row>
    <row r="31" spans="1:23" s="5" customFormat="1" ht="51" customHeight="1" x14ac:dyDescent="0.2">
      <c r="A31" s="20" t="s">
        <v>59</v>
      </c>
      <c r="B31" s="21" t="s">
        <v>21</v>
      </c>
      <c r="C31" s="21" t="s">
        <v>21</v>
      </c>
      <c r="D31" s="21" t="s">
        <v>21</v>
      </c>
      <c r="E31" s="21" t="s">
        <v>21</v>
      </c>
      <c r="F31" s="20" t="s">
        <v>22</v>
      </c>
      <c r="G31" s="21" t="s">
        <v>21</v>
      </c>
      <c r="H31" s="21" t="s">
        <v>21</v>
      </c>
      <c r="I31" s="21" t="s">
        <v>21</v>
      </c>
      <c r="J31" s="18">
        <v>2</v>
      </c>
      <c r="K31" s="22" t="s">
        <v>23</v>
      </c>
      <c r="L31" s="2">
        <v>0.1</v>
      </c>
      <c r="M31" s="3">
        <v>0.15</v>
      </c>
      <c r="N31" s="23" t="s">
        <v>24</v>
      </c>
      <c r="O31" s="21" t="s">
        <v>21</v>
      </c>
      <c r="P31" s="4"/>
      <c r="Q31" s="4">
        <f t="shared" si="0"/>
        <v>0</v>
      </c>
      <c r="R31" s="21"/>
      <c r="S31" s="17"/>
      <c r="T31" s="17"/>
    </row>
    <row r="32" spans="1:23" s="5" customFormat="1" ht="51" customHeight="1" x14ac:dyDescent="0.2">
      <c r="A32" s="20" t="s">
        <v>60</v>
      </c>
      <c r="B32" s="21" t="s">
        <v>21</v>
      </c>
      <c r="C32" s="21" t="s">
        <v>21</v>
      </c>
      <c r="D32" s="21" t="s">
        <v>21</v>
      </c>
      <c r="E32" s="21" t="s">
        <v>21</v>
      </c>
      <c r="F32" s="20" t="s">
        <v>22</v>
      </c>
      <c r="G32" s="21" t="s">
        <v>21</v>
      </c>
      <c r="H32" s="21" t="s">
        <v>21</v>
      </c>
      <c r="I32" s="21" t="s">
        <v>21</v>
      </c>
      <c r="J32" s="18">
        <v>1</v>
      </c>
      <c r="K32" s="22" t="s">
        <v>23</v>
      </c>
      <c r="L32" s="2">
        <v>0.05</v>
      </c>
      <c r="M32" s="3">
        <v>0.08</v>
      </c>
      <c r="N32" s="23" t="s">
        <v>24</v>
      </c>
      <c r="O32" s="21" t="s">
        <v>21</v>
      </c>
      <c r="P32" s="4"/>
      <c r="Q32" s="4">
        <f t="shared" si="0"/>
        <v>0</v>
      </c>
      <c r="R32" s="21"/>
      <c r="S32" s="17"/>
      <c r="T32" s="17"/>
    </row>
    <row r="33" spans="1:23" s="5" customFormat="1" ht="30.6" customHeight="1" x14ac:dyDescent="0.2">
      <c r="A33" s="20" t="s">
        <v>61</v>
      </c>
      <c r="B33" s="21" t="s">
        <v>21</v>
      </c>
      <c r="C33" s="21" t="s">
        <v>21</v>
      </c>
      <c r="D33" s="21" t="s">
        <v>21</v>
      </c>
      <c r="E33" s="21" t="s">
        <v>21</v>
      </c>
      <c r="F33" s="20" t="s">
        <v>22</v>
      </c>
      <c r="G33" s="21" t="s">
        <v>21</v>
      </c>
      <c r="H33" s="21" t="s">
        <v>21</v>
      </c>
      <c r="I33" s="21" t="s">
        <v>21</v>
      </c>
      <c r="J33" s="18">
        <v>2</v>
      </c>
      <c r="K33" s="22" t="s">
        <v>23</v>
      </c>
      <c r="L33" s="2">
        <v>0.08</v>
      </c>
      <c r="M33" s="3">
        <v>0.1</v>
      </c>
      <c r="N33" s="23" t="s">
        <v>24</v>
      </c>
      <c r="O33" s="21" t="s">
        <v>21</v>
      </c>
      <c r="P33" s="4"/>
      <c r="Q33" s="4">
        <f t="shared" si="0"/>
        <v>0</v>
      </c>
      <c r="R33" s="21"/>
      <c r="S33" s="17"/>
      <c r="T33" s="17"/>
    </row>
    <row r="34" spans="1:23" s="5" customFormat="1" ht="71.400000000000006" customHeight="1" x14ac:dyDescent="0.2">
      <c r="A34" s="20" t="s">
        <v>62</v>
      </c>
      <c r="B34" s="21" t="s">
        <v>21</v>
      </c>
      <c r="C34" s="21" t="s">
        <v>21</v>
      </c>
      <c r="D34" s="21" t="s">
        <v>21</v>
      </c>
      <c r="E34" s="21" t="s">
        <v>21</v>
      </c>
      <c r="F34" s="20" t="s">
        <v>22</v>
      </c>
      <c r="G34" s="21" t="s">
        <v>21</v>
      </c>
      <c r="H34" s="21" t="s">
        <v>21</v>
      </c>
      <c r="I34" s="21" t="s">
        <v>21</v>
      </c>
      <c r="J34" s="18">
        <v>2</v>
      </c>
      <c r="K34" s="22" t="s">
        <v>23</v>
      </c>
      <c r="L34" s="2">
        <v>0.4</v>
      </c>
      <c r="M34" s="3">
        <v>0.6</v>
      </c>
      <c r="N34" s="23" t="s">
        <v>24</v>
      </c>
      <c r="O34" s="21" t="s">
        <v>21</v>
      </c>
      <c r="P34" s="4"/>
      <c r="Q34" s="4">
        <f t="shared" ref="Q34:Q65" si="1">P34*J34</f>
        <v>0</v>
      </c>
      <c r="R34" s="21"/>
      <c r="S34" s="17"/>
      <c r="T34" s="17"/>
    </row>
    <row r="35" spans="1:23" s="5" customFormat="1" ht="61.2" customHeight="1" x14ac:dyDescent="0.2">
      <c r="A35" s="20" t="s">
        <v>63</v>
      </c>
      <c r="B35" s="21" t="s">
        <v>21</v>
      </c>
      <c r="C35" s="21" t="s">
        <v>21</v>
      </c>
      <c r="D35" s="21" t="s">
        <v>21</v>
      </c>
      <c r="E35" s="21" t="s">
        <v>21</v>
      </c>
      <c r="F35" s="20" t="s">
        <v>22</v>
      </c>
      <c r="G35" s="21" t="s">
        <v>21</v>
      </c>
      <c r="H35" s="21" t="s">
        <v>21</v>
      </c>
      <c r="I35" s="21" t="s">
        <v>21</v>
      </c>
      <c r="J35" s="18">
        <v>1</v>
      </c>
      <c r="K35" s="22" t="s">
        <v>23</v>
      </c>
      <c r="L35" s="2">
        <v>0.05</v>
      </c>
      <c r="M35" s="3">
        <v>0.08</v>
      </c>
      <c r="N35" s="23" t="s">
        <v>24</v>
      </c>
      <c r="O35" s="21" t="s">
        <v>21</v>
      </c>
      <c r="P35" s="4"/>
      <c r="Q35" s="4">
        <f t="shared" si="1"/>
        <v>0</v>
      </c>
      <c r="R35" s="21"/>
      <c r="S35" s="17"/>
      <c r="T35" s="17"/>
    </row>
    <row r="36" spans="1:23" s="5" customFormat="1" ht="81.599999999999994" customHeight="1" x14ac:dyDescent="0.2">
      <c r="A36" s="20" t="s">
        <v>64</v>
      </c>
      <c r="B36" s="21" t="s">
        <v>21</v>
      </c>
      <c r="C36" s="21" t="s">
        <v>21</v>
      </c>
      <c r="D36" s="21" t="s">
        <v>21</v>
      </c>
      <c r="E36" s="21" t="s">
        <v>21</v>
      </c>
      <c r="F36" s="20" t="s">
        <v>22</v>
      </c>
      <c r="G36" s="21" t="s">
        <v>21</v>
      </c>
      <c r="H36" s="21" t="s">
        <v>21</v>
      </c>
      <c r="I36" s="21" t="s">
        <v>21</v>
      </c>
      <c r="J36" s="18">
        <v>1</v>
      </c>
      <c r="K36" s="22" t="s">
        <v>23</v>
      </c>
      <c r="L36" s="2">
        <v>1</v>
      </c>
      <c r="M36" s="3">
        <v>1.5</v>
      </c>
      <c r="N36" s="23" t="s">
        <v>28</v>
      </c>
      <c r="O36" s="21" t="s">
        <v>21</v>
      </c>
      <c r="P36" s="4"/>
      <c r="Q36" s="4">
        <f t="shared" si="1"/>
        <v>0</v>
      </c>
      <c r="R36" s="21"/>
      <c r="S36" s="17"/>
      <c r="T36" s="17"/>
    </row>
    <row r="37" spans="1:23" s="5" customFormat="1" ht="51" customHeight="1" x14ac:dyDescent="0.2">
      <c r="A37" s="20" t="s">
        <v>65</v>
      </c>
      <c r="B37" s="21" t="s">
        <v>21</v>
      </c>
      <c r="C37" s="21" t="s">
        <v>21</v>
      </c>
      <c r="D37" s="21" t="s">
        <v>21</v>
      </c>
      <c r="E37" s="21" t="s">
        <v>21</v>
      </c>
      <c r="F37" s="20" t="s">
        <v>22</v>
      </c>
      <c r="G37" s="21" t="s">
        <v>21</v>
      </c>
      <c r="H37" s="21" t="s">
        <v>21</v>
      </c>
      <c r="I37" s="21" t="s">
        <v>21</v>
      </c>
      <c r="J37" s="18">
        <v>1</v>
      </c>
      <c r="K37" s="22" t="s">
        <v>23</v>
      </c>
      <c r="L37" s="2">
        <v>0.3</v>
      </c>
      <c r="M37" s="3">
        <v>0.5</v>
      </c>
      <c r="N37" s="23" t="s">
        <v>28</v>
      </c>
      <c r="O37" s="21" t="s">
        <v>21</v>
      </c>
      <c r="P37" s="4"/>
      <c r="Q37" s="4">
        <f t="shared" si="1"/>
        <v>0</v>
      </c>
      <c r="R37" s="21" t="s">
        <v>21</v>
      </c>
      <c r="S37" s="17">
        <v>44259</v>
      </c>
      <c r="T37" s="17">
        <v>45353</v>
      </c>
    </row>
    <row r="38" spans="1:23" s="5" customFormat="1" ht="61.2" customHeight="1" x14ac:dyDescent="0.2">
      <c r="A38" s="20" t="s">
        <v>66</v>
      </c>
      <c r="B38" s="21" t="s">
        <v>21</v>
      </c>
      <c r="C38" s="21" t="s">
        <v>21</v>
      </c>
      <c r="D38" s="21" t="s">
        <v>21</v>
      </c>
      <c r="E38" s="21" t="s">
        <v>21</v>
      </c>
      <c r="F38" s="20" t="s">
        <v>22</v>
      </c>
      <c r="G38" s="21" t="s">
        <v>21</v>
      </c>
      <c r="H38" s="21" t="s">
        <v>21</v>
      </c>
      <c r="I38" s="21" t="s">
        <v>21</v>
      </c>
      <c r="J38" s="18">
        <v>1</v>
      </c>
      <c r="K38" s="22" t="s">
        <v>23</v>
      </c>
      <c r="L38" s="2">
        <v>0.05</v>
      </c>
      <c r="M38" s="3">
        <v>0.08</v>
      </c>
      <c r="N38" s="23" t="s">
        <v>24</v>
      </c>
      <c r="O38" s="21" t="s">
        <v>21</v>
      </c>
      <c r="P38" s="4"/>
      <c r="Q38" s="4">
        <f t="shared" si="1"/>
        <v>0</v>
      </c>
      <c r="R38" s="21"/>
      <c r="S38" s="17"/>
      <c r="T38" s="17"/>
    </row>
    <row r="39" spans="1:23" s="5" customFormat="1" ht="40.799999999999997" customHeight="1" x14ac:dyDescent="0.2">
      <c r="A39" s="20" t="s">
        <v>67</v>
      </c>
      <c r="B39" s="21" t="s">
        <v>21</v>
      </c>
      <c r="C39" s="21" t="s">
        <v>21</v>
      </c>
      <c r="D39" s="21" t="s">
        <v>21</v>
      </c>
      <c r="E39" s="21" t="s">
        <v>21</v>
      </c>
      <c r="F39" s="20" t="s">
        <v>22</v>
      </c>
      <c r="G39" s="21" t="s">
        <v>21</v>
      </c>
      <c r="H39" s="21" t="s">
        <v>21</v>
      </c>
      <c r="I39" s="21" t="s">
        <v>21</v>
      </c>
      <c r="J39" s="18">
        <v>2</v>
      </c>
      <c r="K39" s="22" t="s">
        <v>23</v>
      </c>
      <c r="L39" s="2">
        <v>0.08</v>
      </c>
      <c r="M39" s="3">
        <v>0.1</v>
      </c>
      <c r="N39" s="23" t="s">
        <v>24</v>
      </c>
      <c r="O39" s="21" t="s">
        <v>21</v>
      </c>
      <c r="P39" s="4"/>
      <c r="Q39" s="4">
        <f t="shared" si="1"/>
        <v>0</v>
      </c>
      <c r="R39" s="21"/>
      <c r="S39" s="17"/>
      <c r="T39" s="17"/>
    </row>
    <row r="40" spans="1:23" s="5" customFormat="1" ht="91.8" customHeight="1" x14ac:dyDescent="0.2">
      <c r="A40" s="20" t="s">
        <v>68</v>
      </c>
      <c r="B40" s="21" t="s">
        <v>21</v>
      </c>
      <c r="C40" s="21" t="s">
        <v>21</v>
      </c>
      <c r="D40" s="21" t="s">
        <v>21</v>
      </c>
      <c r="E40" s="21" t="s">
        <v>21</v>
      </c>
      <c r="F40" s="20" t="s">
        <v>22</v>
      </c>
      <c r="G40" s="21" t="s">
        <v>21</v>
      </c>
      <c r="H40" s="21" t="s">
        <v>21</v>
      </c>
      <c r="I40" s="21" t="s">
        <v>21</v>
      </c>
      <c r="J40" s="18">
        <v>1</v>
      </c>
      <c r="K40" s="22" t="s">
        <v>23</v>
      </c>
      <c r="L40" s="2">
        <v>1</v>
      </c>
      <c r="M40" s="3">
        <v>1.2</v>
      </c>
      <c r="N40" s="23" t="s">
        <v>24</v>
      </c>
      <c r="O40" s="21" t="s">
        <v>21</v>
      </c>
      <c r="P40" s="4"/>
      <c r="Q40" s="4">
        <f t="shared" si="1"/>
        <v>0</v>
      </c>
      <c r="R40" s="21"/>
      <c r="S40" s="17"/>
      <c r="T40" s="17"/>
    </row>
    <row r="41" spans="1:23" s="5" customFormat="1" ht="51" customHeight="1" x14ac:dyDescent="0.2">
      <c r="A41" s="20" t="s">
        <v>69</v>
      </c>
      <c r="B41" s="21" t="s">
        <v>21</v>
      </c>
      <c r="C41" s="21" t="s">
        <v>21</v>
      </c>
      <c r="D41" s="21" t="s">
        <v>21</v>
      </c>
      <c r="E41" s="21" t="s">
        <v>21</v>
      </c>
      <c r="F41" s="20" t="s">
        <v>22</v>
      </c>
      <c r="G41" s="21" t="s">
        <v>21</v>
      </c>
      <c r="H41" s="21" t="s">
        <v>21</v>
      </c>
      <c r="I41" s="21" t="s">
        <v>21</v>
      </c>
      <c r="J41" s="18">
        <v>1</v>
      </c>
      <c r="K41" s="22" t="s">
        <v>23</v>
      </c>
      <c r="L41" s="2">
        <v>0.1</v>
      </c>
      <c r="M41" s="3">
        <v>0.14000000000000001</v>
      </c>
      <c r="N41" s="23" t="s">
        <v>24</v>
      </c>
      <c r="O41" s="21" t="s">
        <v>21</v>
      </c>
      <c r="P41" s="4"/>
      <c r="Q41" s="4">
        <f t="shared" si="1"/>
        <v>0</v>
      </c>
      <c r="R41" s="21"/>
      <c r="S41" s="17"/>
      <c r="T41" s="17"/>
    </row>
    <row r="42" spans="1:23" s="5" customFormat="1" ht="81.599999999999994" customHeight="1" x14ac:dyDescent="0.2">
      <c r="A42" s="20" t="s">
        <v>70</v>
      </c>
      <c r="B42" s="21" t="s">
        <v>21</v>
      </c>
      <c r="C42" s="21" t="s">
        <v>21</v>
      </c>
      <c r="D42" s="21" t="s">
        <v>21</v>
      </c>
      <c r="E42" s="21" t="s">
        <v>21</v>
      </c>
      <c r="F42" s="20" t="s">
        <v>22</v>
      </c>
      <c r="G42" s="21" t="s">
        <v>21</v>
      </c>
      <c r="H42" s="21" t="s">
        <v>21</v>
      </c>
      <c r="I42" s="21" t="s">
        <v>21</v>
      </c>
      <c r="J42" s="18">
        <v>1</v>
      </c>
      <c r="K42" s="22" t="s">
        <v>23</v>
      </c>
      <c r="L42" s="2">
        <v>1</v>
      </c>
      <c r="M42" s="3">
        <v>1.2</v>
      </c>
      <c r="N42" s="23" t="s">
        <v>40</v>
      </c>
      <c r="O42" s="21" t="s">
        <v>21</v>
      </c>
      <c r="P42" s="4"/>
      <c r="Q42" s="4">
        <f t="shared" si="1"/>
        <v>0</v>
      </c>
      <c r="R42" s="21"/>
      <c r="S42" s="17"/>
      <c r="T42" s="17"/>
      <c r="U42" s="21" t="s">
        <v>41</v>
      </c>
      <c r="V42" s="17">
        <v>44193</v>
      </c>
      <c r="W42" s="18" t="s">
        <v>42</v>
      </c>
    </row>
    <row r="43" spans="1:23" s="5" customFormat="1" ht="30.6" customHeight="1" x14ac:dyDescent="0.2">
      <c r="A43" s="20" t="s">
        <v>71</v>
      </c>
      <c r="B43" s="21" t="s">
        <v>21</v>
      </c>
      <c r="C43" s="21" t="s">
        <v>21</v>
      </c>
      <c r="D43" s="21" t="s">
        <v>21</v>
      </c>
      <c r="E43" s="21" t="s">
        <v>21</v>
      </c>
      <c r="F43" s="20" t="s">
        <v>22</v>
      </c>
      <c r="G43" s="21" t="s">
        <v>21</v>
      </c>
      <c r="H43" s="21" t="s">
        <v>21</v>
      </c>
      <c r="I43" s="21" t="s">
        <v>21</v>
      </c>
      <c r="J43" s="18">
        <v>1</v>
      </c>
      <c r="K43" s="22" t="s">
        <v>23</v>
      </c>
      <c r="L43" s="2">
        <v>0.25</v>
      </c>
      <c r="M43" s="3">
        <v>0.4</v>
      </c>
      <c r="N43" s="23" t="s">
        <v>24</v>
      </c>
      <c r="O43" s="21" t="s">
        <v>21</v>
      </c>
      <c r="P43" s="4"/>
      <c r="Q43" s="4">
        <f t="shared" si="1"/>
        <v>0</v>
      </c>
      <c r="R43" s="21"/>
      <c r="S43" s="17"/>
      <c r="T43" s="17"/>
    </row>
    <row r="44" spans="1:23" s="5" customFormat="1" ht="51" customHeight="1" x14ac:dyDescent="0.2">
      <c r="A44" s="20" t="s">
        <v>72</v>
      </c>
      <c r="B44" s="21" t="s">
        <v>21</v>
      </c>
      <c r="C44" s="21" t="s">
        <v>21</v>
      </c>
      <c r="D44" s="21" t="s">
        <v>21</v>
      </c>
      <c r="E44" s="21" t="s">
        <v>21</v>
      </c>
      <c r="F44" s="20" t="s">
        <v>22</v>
      </c>
      <c r="G44" s="21" t="s">
        <v>21</v>
      </c>
      <c r="H44" s="21" t="s">
        <v>21</v>
      </c>
      <c r="I44" s="21" t="s">
        <v>21</v>
      </c>
      <c r="J44" s="18">
        <v>1</v>
      </c>
      <c r="K44" s="22" t="s">
        <v>23</v>
      </c>
      <c r="L44" s="2">
        <v>0.1</v>
      </c>
      <c r="M44" s="3">
        <v>0.15</v>
      </c>
      <c r="N44" s="23" t="s">
        <v>24</v>
      </c>
      <c r="O44" s="21" t="s">
        <v>21</v>
      </c>
      <c r="P44" s="4"/>
      <c r="Q44" s="4">
        <f t="shared" si="1"/>
        <v>0</v>
      </c>
      <c r="R44" s="21"/>
      <c r="S44" s="17"/>
      <c r="T44" s="17"/>
    </row>
    <row r="45" spans="1:23" s="5" customFormat="1" ht="163.19999999999999" customHeight="1" x14ac:dyDescent="0.2">
      <c r="A45" s="20" t="s">
        <v>73</v>
      </c>
      <c r="B45" s="21" t="s">
        <v>21</v>
      </c>
      <c r="C45" s="21" t="s">
        <v>21</v>
      </c>
      <c r="D45" s="21" t="s">
        <v>21</v>
      </c>
      <c r="E45" s="21" t="s">
        <v>21</v>
      </c>
      <c r="F45" s="20" t="s">
        <v>22</v>
      </c>
      <c r="G45" s="21" t="s">
        <v>21</v>
      </c>
      <c r="H45" s="21" t="s">
        <v>21</v>
      </c>
      <c r="I45" s="21" t="s">
        <v>21</v>
      </c>
      <c r="J45" s="18">
        <v>2</v>
      </c>
      <c r="K45" s="22" t="s">
        <v>23</v>
      </c>
      <c r="L45" s="2">
        <v>5</v>
      </c>
      <c r="M45" s="3">
        <v>9</v>
      </c>
      <c r="N45" s="23" t="s">
        <v>28</v>
      </c>
      <c r="O45" s="21" t="s">
        <v>21</v>
      </c>
      <c r="P45" s="4"/>
      <c r="Q45" s="4">
        <f t="shared" si="1"/>
        <v>0</v>
      </c>
      <c r="R45" s="21"/>
      <c r="S45" s="17"/>
      <c r="T45" s="17"/>
    </row>
    <row r="46" spans="1:23" s="5" customFormat="1" ht="51" customHeight="1" x14ac:dyDescent="0.2">
      <c r="A46" s="20" t="s">
        <v>74</v>
      </c>
      <c r="B46" s="21" t="s">
        <v>21</v>
      </c>
      <c r="C46" s="21" t="s">
        <v>21</v>
      </c>
      <c r="D46" s="21" t="s">
        <v>21</v>
      </c>
      <c r="E46" s="21" t="s">
        <v>21</v>
      </c>
      <c r="F46" s="20" t="s">
        <v>22</v>
      </c>
      <c r="G46" s="21" t="s">
        <v>21</v>
      </c>
      <c r="H46" s="21" t="s">
        <v>21</v>
      </c>
      <c r="I46" s="21" t="s">
        <v>21</v>
      </c>
      <c r="J46" s="18">
        <v>3</v>
      </c>
      <c r="K46" s="22" t="s">
        <v>23</v>
      </c>
      <c r="L46" s="2">
        <v>0.1</v>
      </c>
      <c r="M46" s="3">
        <v>0.15</v>
      </c>
      <c r="N46" s="23" t="s">
        <v>24</v>
      </c>
      <c r="O46" s="21" t="s">
        <v>21</v>
      </c>
      <c r="P46" s="4"/>
      <c r="Q46" s="4">
        <f t="shared" si="1"/>
        <v>0</v>
      </c>
      <c r="R46" s="21"/>
      <c r="S46" s="17"/>
      <c r="T46" s="17"/>
    </row>
    <row r="47" spans="1:23" s="5" customFormat="1" ht="61.2" customHeight="1" x14ac:dyDescent="0.2">
      <c r="A47" s="20" t="s">
        <v>75</v>
      </c>
      <c r="B47" s="21" t="s">
        <v>21</v>
      </c>
      <c r="C47" s="21" t="s">
        <v>21</v>
      </c>
      <c r="D47" s="21" t="s">
        <v>21</v>
      </c>
      <c r="E47" s="21" t="s">
        <v>21</v>
      </c>
      <c r="F47" s="20" t="s">
        <v>22</v>
      </c>
      <c r="G47" s="21" t="s">
        <v>21</v>
      </c>
      <c r="H47" s="21" t="s">
        <v>21</v>
      </c>
      <c r="I47" s="21" t="s">
        <v>21</v>
      </c>
      <c r="J47" s="18">
        <v>1</v>
      </c>
      <c r="K47" s="22" t="s">
        <v>23</v>
      </c>
      <c r="L47" s="2">
        <v>0.05</v>
      </c>
      <c r="M47" s="3">
        <v>0.1</v>
      </c>
      <c r="N47" s="23" t="s">
        <v>24</v>
      </c>
      <c r="O47" s="21" t="s">
        <v>21</v>
      </c>
      <c r="P47" s="4"/>
      <c r="Q47" s="4">
        <f t="shared" si="1"/>
        <v>0</v>
      </c>
      <c r="R47" s="21"/>
      <c r="S47" s="17"/>
      <c r="T47" s="18"/>
    </row>
    <row r="48" spans="1:23" s="5" customFormat="1" ht="40.799999999999997" customHeight="1" x14ac:dyDescent="0.2">
      <c r="A48" s="20" t="s">
        <v>76</v>
      </c>
      <c r="B48" s="21" t="s">
        <v>21</v>
      </c>
      <c r="C48" s="21" t="s">
        <v>21</v>
      </c>
      <c r="D48" s="21" t="s">
        <v>21</v>
      </c>
      <c r="E48" s="21" t="s">
        <v>21</v>
      </c>
      <c r="F48" s="20" t="s">
        <v>22</v>
      </c>
      <c r="G48" s="21" t="s">
        <v>21</v>
      </c>
      <c r="H48" s="21" t="s">
        <v>21</v>
      </c>
      <c r="I48" s="21" t="s">
        <v>21</v>
      </c>
      <c r="J48" s="18">
        <v>5</v>
      </c>
      <c r="K48" s="22" t="s">
        <v>23</v>
      </c>
      <c r="L48" s="2">
        <v>0.1</v>
      </c>
      <c r="M48" s="3">
        <v>0.15</v>
      </c>
      <c r="N48" s="23" t="s">
        <v>24</v>
      </c>
      <c r="O48" s="21" t="s">
        <v>21</v>
      </c>
      <c r="P48" s="4"/>
      <c r="Q48" s="4">
        <f t="shared" si="1"/>
        <v>0</v>
      </c>
      <c r="R48" s="21"/>
      <c r="S48" s="17"/>
      <c r="T48" s="18"/>
    </row>
    <row r="49" spans="1:20" s="5" customFormat="1" ht="51" customHeight="1" x14ac:dyDescent="0.2">
      <c r="A49" s="20" t="s">
        <v>77</v>
      </c>
      <c r="B49" s="21" t="s">
        <v>21</v>
      </c>
      <c r="C49" s="21" t="s">
        <v>21</v>
      </c>
      <c r="D49" s="21" t="s">
        <v>21</v>
      </c>
      <c r="E49" s="21" t="s">
        <v>21</v>
      </c>
      <c r="F49" s="20" t="s">
        <v>22</v>
      </c>
      <c r="G49" s="21" t="s">
        <v>21</v>
      </c>
      <c r="H49" s="21" t="s">
        <v>21</v>
      </c>
      <c r="I49" s="21" t="s">
        <v>21</v>
      </c>
      <c r="J49" s="18">
        <v>10</v>
      </c>
      <c r="K49" s="22" t="s">
        <v>23</v>
      </c>
      <c r="L49" s="2">
        <v>0.5</v>
      </c>
      <c r="M49" s="3">
        <v>0.7</v>
      </c>
      <c r="N49" s="23" t="s">
        <v>24</v>
      </c>
      <c r="O49" s="21" t="s">
        <v>21</v>
      </c>
      <c r="P49" s="4"/>
      <c r="Q49" s="4">
        <f t="shared" si="1"/>
        <v>0</v>
      </c>
      <c r="R49" s="21"/>
      <c r="S49" s="17"/>
      <c r="T49" s="17"/>
    </row>
    <row r="50" spans="1:20" s="5" customFormat="1" ht="91.8" customHeight="1" x14ac:dyDescent="0.2">
      <c r="A50" s="20" t="s">
        <v>78</v>
      </c>
      <c r="B50" s="21" t="s">
        <v>21</v>
      </c>
      <c r="C50" s="21" t="s">
        <v>21</v>
      </c>
      <c r="D50" s="21" t="s">
        <v>21</v>
      </c>
      <c r="E50" s="21" t="s">
        <v>21</v>
      </c>
      <c r="F50" s="20" t="s">
        <v>22</v>
      </c>
      <c r="G50" s="21" t="s">
        <v>21</v>
      </c>
      <c r="H50" s="21" t="s">
        <v>21</v>
      </c>
      <c r="I50" s="21" t="s">
        <v>21</v>
      </c>
      <c r="J50" s="18">
        <v>1</v>
      </c>
      <c r="K50" s="22" t="s">
        <v>23</v>
      </c>
      <c r="L50" s="2">
        <v>1</v>
      </c>
      <c r="M50" s="3">
        <v>1.2</v>
      </c>
      <c r="N50" s="23" t="s">
        <v>40</v>
      </c>
      <c r="O50" s="21" t="s">
        <v>21</v>
      </c>
      <c r="P50" s="4"/>
      <c r="Q50" s="4">
        <f t="shared" si="1"/>
        <v>0</v>
      </c>
      <c r="R50" s="21"/>
      <c r="S50" s="17"/>
      <c r="T50" s="17"/>
    </row>
    <row r="51" spans="1:20" s="5" customFormat="1" ht="51" customHeight="1" x14ac:dyDescent="0.2">
      <c r="A51" s="20" t="s">
        <v>79</v>
      </c>
      <c r="B51" s="21" t="s">
        <v>21</v>
      </c>
      <c r="C51" s="21" t="s">
        <v>21</v>
      </c>
      <c r="D51" s="21" t="s">
        <v>21</v>
      </c>
      <c r="E51" s="21" t="s">
        <v>21</v>
      </c>
      <c r="F51" s="20" t="s">
        <v>22</v>
      </c>
      <c r="G51" s="21" t="s">
        <v>21</v>
      </c>
      <c r="H51" s="21" t="s">
        <v>21</v>
      </c>
      <c r="I51" s="21" t="s">
        <v>21</v>
      </c>
      <c r="J51" s="18">
        <v>1</v>
      </c>
      <c r="K51" s="22" t="s">
        <v>23</v>
      </c>
      <c r="L51" s="2">
        <v>0.5</v>
      </c>
      <c r="M51" s="3">
        <v>0.6</v>
      </c>
      <c r="N51" s="23" t="s">
        <v>24</v>
      </c>
      <c r="O51" s="21" t="s">
        <v>21</v>
      </c>
      <c r="P51" s="4"/>
      <c r="Q51" s="4">
        <f t="shared" si="1"/>
        <v>0</v>
      </c>
      <c r="R51" s="21" t="s">
        <v>21</v>
      </c>
      <c r="S51" s="17">
        <v>44259</v>
      </c>
      <c r="T51" s="17">
        <v>45353</v>
      </c>
    </row>
    <row r="52" spans="1:20" s="5" customFormat="1" ht="51" customHeight="1" x14ac:dyDescent="0.2">
      <c r="A52" s="20" t="s">
        <v>80</v>
      </c>
      <c r="B52" s="21" t="s">
        <v>21</v>
      </c>
      <c r="C52" s="21" t="s">
        <v>21</v>
      </c>
      <c r="D52" s="21" t="s">
        <v>21</v>
      </c>
      <c r="E52" s="21" t="s">
        <v>21</v>
      </c>
      <c r="F52" s="20" t="s">
        <v>22</v>
      </c>
      <c r="G52" s="21" t="s">
        <v>21</v>
      </c>
      <c r="H52" s="21" t="s">
        <v>21</v>
      </c>
      <c r="I52" s="21" t="s">
        <v>21</v>
      </c>
      <c r="J52" s="18" t="s">
        <v>81</v>
      </c>
      <c r="K52" s="22" t="s">
        <v>23</v>
      </c>
      <c r="L52" s="2">
        <v>0.05</v>
      </c>
      <c r="M52" s="3">
        <v>0.1</v>
      </c>
      <c r="N52" s="23" t="s">
        <v>24</v>
      </c>
      <c r="O52" s="21" t="s">
        <v>21</v>
      </c>
      <c r="P52" s="4"/>
      <c r="Q52" s="4">
        <f t="shared" si="1"/>
        <v>0</v>
      </c>
      <c r="R52" s="21"/>
      <c r="S52" s="17"/>
      <c r="T52" s="17"/>
    </row>
    <row r="53" spans="1:20" s="5" customFormat="1" ht="51" customHeight="1" x14ac:dyDescent="0.2">
      <c r="A53" s="20" t="s">
        <v>82</v>
      </c>
      <c r="B53" s="21" t="s">
        <v>21</v>
      </c>
      <c r="C53" s="21" t="s">
        <v>21</v>
      </c>
      <c r="D53" s="21" t="s">
        <v>21</v>
      </c>
      <c r="E53" s="21" t="s">
        <v>21</v>
      </c>
      <c r="F53" s="20" t="s">
        <v>22</v>
      </c>
      <c r="G53" s="21" t="s">
        <v>21</v>
      </c>
      <c r="H53" s="21" t="s">
        <v>21</v>
      </c>
      <c r="I53" s="21" t="s">
        <v>21</v>
      </c>
      <c r="J53" s="18" t="s">
        <v>81</v>
      </c>
      <c r="K53" s="22" t="s">
        <v>23</v>
      </c>
      <c r="L53" s="2">
        <v>0.2</v>
      </c>
      <c r="M53" s="3">
        <v>0.3</v>
      </c>
      <c r="N53" s="23" t="s">
        <v>28</v>
      </c>
      <c r="O53" s="21" t="s">
        <v>21</v>
      </c>
      <c r="P53" s="4"/>
      <c r="Q53" s="4">
        <f t="shared" si="1"/>
        <v>0</v>
      </c>
      <c r="R53" s="21" t="s">
        <v>21</v>
      </c>
      <c r="S53" s="17">
        <v>44259</v>
      </c>
      <c r="T53" s="17">
        <v>45353</v>
      </c>
    </row>
    <row r="54" spans="1:20" ht="20.399999999999999" customHeight="1" x14ac:dyDescent="0.3">
      <c r="G54" s="7" t="s">
        <v>83</v>
      </c>
      <c r="L54" s="7" t="s">
        <v>84</v>
      </c>
      <c r="M54" s="7" t="s">
        <v>85</v>
      </c>
    </row>
    <row r="55" spans="1:20" x14ac:dyDescent="0.3">
      <c r="L55" s="10">
        <f>SUBTOTAL(9,L2:L53)</f>
        <v>73.739999999999966</v>
      </c>
      <c r="M55" s="10">
        <f>SUBTOTAL(9,M2:M53)</f>
        <v>95.199999999999989</v>
      </c>
      <c r="Q55" s="10">
        <f>SUBTOTAL(9,Q2:Q53)</f>
        <v>0</v>
      </c>
    </row>
    <row r="56" spans="1:20" x14ac:dyDescent="0.3">
      <c r="L56" s="11"/>
      <c r="M56" s="11"/>
      <c r="N56" s="11"/>
      <c r="O56" s="11"/>
      <c r="P56" s="11"/>
      <c r="Q56" s="11"/>
      <c r="R56" s="11"/>
      <c r="S56" s="11"/>
      <c r="T56" s="11"/>
    </row>
    <row r="57" spans="1:20" x14ac:dyDescent="0.3">
      <c r="M57" s="11"/>
    </row>
  </sheetData>
  <autoFilter ref="A1:T54" xr:uid="{00000000-0009-0000-0000-000000000000}"/>
  <pageMargins left="0" right="0" top="0" bottom="0" header="0" footer="0"/>
  <pageSetup paperSize="9" scale="78" fitToHeight="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Ирина Мухина</dc:creator>
  <cp:lastModifiedBy>Unique Snowflake</cp:lastModifiedBy>
  <cp:revision>89</cp:revision>
  <dcterms:created xsi:type="dcterms:W3CDTF">2016-12-07T07:37:17Z</dcterms:created>
  <dcterms:modified xsi:type="dcterms:W3CDTF">2021-05-06T16:24:22Z</dcterms:modified>
  <cp:version>0906.0100.01</cp:version>
</cp:coreProperties>
</file>