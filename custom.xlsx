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0" showVerticalScroll="0" showSheetTabs="0" xWindow="-108" yWindow="-108" windowWidth="23256" windowHeight="12720" tabRatio="203" firstSheet="0" activeTab="0" autoFilterDateGrouping="1"/>
  </bookViews>
  <sheets>
    <sheet name="Лист1" sheetId="1" state="visible" r:id="rId1"/>
  </sheets>
  <definedNames>
    <definedName name="_xlnm._FilterDatabase" localSheetId="0" hidden="1">'Лист1'!$A$1:$T$54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_₽"/>
  </numFmts>
  <fonts count="5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charset val="204"/>
      <family val="2"/>
      <color rgb="FF000000"/>
      <sz val="8"/>
    </font>
    <font>
      <name val="Calibri"/>
      <charset val="204"/>
      <family val="2"/>
      <b val="1"/>
      <color rgb="FF000000"/>
      <sz val="8"/>
    </font>
    <font>
      <name val="Calibri"/>
      <charset val="204"/>
      <family val="2"/>
      <color rgb="FF000000"/>
      <sz val="8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pivotButton="0" quotePrefix="0" xfId="0"/>
    <xf numFmtId="0" fontId="0" fillId="0" borderId="0" pivotButton="0" quotePrefix="0" xfId="0"/>
    <xf numFmtId="4" fontId="2" fillId="0" borderId="2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4" fontId="3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 shrinkToFit="1"/>
    </xf>
    <xf numFmtId="0" fontId="3" fillId="0" borderId="1" applyAlignment="1" pivotButton="0" quotePrefix="0" xfId="0">
      <alignment horizontal="center" vertical="center" wrapText="1" shrinkToFit="1"/>
    </xf>
    <xf numFmtId="0" fontId="3" fillId="0" borderId="3" applyAlignment="1" pivotButton="0" quotePrefix="0" xfId="0">
      <alignment horizontal="center" vertical="center" wrapText="1" shrinkToFit="1"/>
    </xf>
    <xf numFmtId="2" fontId="3" fillId="0" borderId="1" applyAlignment="1" pivotButton="0" quotePrefix="0" xfId="0">
      <alignment horizontal="center" vertical="center" wrapText="1" shrinkToFit="1"/>
    </xf>
    <xf numFmtId="164" fontId="3" fillId="0" borderId="1" applyAlignment="1" pivotButton="0" quotePrefix="0" xfId="0">
      <alignment horizontal="center" vertical="center" wrapText="1" shrinkToFit="1"/>
    </xf>
    <xf numFmtId="1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2147483647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147483647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 fitToPage="1"/>
  </sheetPr>
  <dimension ref="A1:W57"/>
  <sheetViews>
    <sheetView tabSelected="1" zoomScale="115" zoomScaleNormal="115" zoomScaleSheetLayoutView="75" workbookViewId="0">
      <pane ySplit="1" topLeftCell="A11" activePane="bottomLeft" state="frozen"/>
      <selection pane="bottomLeft" activeCell="P16" sqref="P16"/>
    </sheetView>
  </sheetViews>
  <sheetFormatPr baseColWidth="8" defaultColWidth="8.88671875" defaultRowHeight="14.4"/>
  <cols>
    <col width="8.6640625" customWidth="1" style="6" min="1" max="1"/>
    <col width="12.33203125" customWidth="1" style="7" min="2" max="2"/>
    <col width="8.109375" customWidth="1" style="7" min="3" max="3"/>
    <col width="6.44140625" customWidth="1" style="7" min="4" max="4"/>
    <col width="7.44140625" customWidth="1" style="7" min="5" max="5"/>
    <col width="6.5546875" customWidth="1" style="7" min="6" max="6"/>
    <col width="13" customWidth="1" style="7" min="7" max="7"/>
    <col width="29.44140625" customWidth="1" style="7" min="8" max="8"/>
    <col width="9.44140625" customWidth="1" style="7" min="9" max="9"/>
    <col width="7.109375" customWidth="1" style="7" min="10" max="10"/>
    <col width="6" customWidth="1" style="7" min="11" max="11"/>
    <col width="8.44140625" customWidth="1" style="7" min="12" max="12"/>
    <col width="8.109375" customWidth="1" style="7" min="13" max="13"/>
    <col width="7.5546875" customWidth="1" style="7" min="14" max="14"/>
    <col width="8.88671875" customWidth="1" style="7" min="15" max="15"/>
    <col width="9.109375" customWidth="1" style="8" min="16" max="16"/>
    <col width="11" customWidth="1" style="8" min="17" max="17"/>
    <col width="13.88671875" customWidth="1" style="9" min="18" max="18"/>
    <col width="10.33203125" bestFit="1" customWidth="1" style="5" min="19" max="20"/>
    <col width="8.88671875" customWidth="1" style="1" min="21" max="25"/>
    <col width="8.88671875" customWidth="1" style="1" min="26" max="16384"/>
  </cols>
  <sheetData>
    <row r="1" ht="30.6" customHeight="1" s="1">
      <c r="A1" s="12" t="inlineStr">
        <is>
          <t>Код</t>
        </is>
      </c>
      <c r="B1" s="13" t="inlineStr">
        <is>
          <t>Наименование</t>
        </is>
      </c>
      <c r="C1" s="13" t="inlineStr">
        <is>
          <t>Производитель</t>
        </is>
      </c>
      <c r="D1" s="13" t="inlineStr">
        <is>
          <t>Марка</t>
        </is>
      </c>
      <c r="E1" s="13" t="inlineStr">
        <is>
          <t>Модель / тип</t>
        </is>
      </c>
      <c r="F1" s="13" t="inlineStr">
        <is>
          <t>Страна происхождения</t>
        </is>
      </c>
      <c r="G1" s="12" t="inlineStr">
        <is>
          <t>Название для декларирования</t>
        </is>
      </c>
      <c r="H1" s="12" t="inlineStr">
        <is>
          <t>Описание</t>
        </is>
      </c>
      <c r="I1" s="12" t="inlineStr">
        <is>
          <t>Код ТН ВЭД</t>
        </is>
      </c>
      <c r="J1" s="13" t="inlineStr">
        <is>
          <t>Кол-во</t>
        </is>
      </c>
      <c r="K1" s="14" t="inlineStr">
        <is>
          <t>Ед. изм</t>
        </is>
      </c>
      <c r="L1" s="15" t="inlineStr">
        <is>
          <t>Вес нетто, кг</t>
        </is>
      </c>
      <c r="M1" s="15" t="inlineStr">
        <is>
          <t>Вес брутто, кг</t>
        </is>
      </c>
      <c r="N1" s="15" t="inlineStr">
        <is>
          <t>Упаковка</t>
        </is>
      </c>
      <c r="O1" s="13" t="inlineStr">
        <is>
          <t>Инвойс №, дата</t>
        </is>
      </c>
      <c r="P1" s="16" t="inlineStr">
        <is>
          <t>Цена за ед., Евро</t>
        </is>
      </c>
      <c r="Q1" s="16" t="inlineStr">
        <is>
          <t>Стоимость, Евро</t>
        </is>
      </c>
      <c r="R1" s="16" t="inlineStr">
        <is>
          <t>Серт №</t>
        </is>
      </c>
      <c r="S1" s="16" t="inlineStr">
        <is>
          <t>с</t>
        </is>
      </c>
      <c r="T1" s="16" t="inlineStr">
        <is>
          <t>по</t>
        </is>
      </c>
    </row>
    <row r="2" ht="40.8" customFormat="1" customHeight="1" s="5">
      <c r="A2" s="20" t="inlineStr">
        <is>
          <t>N991A1</t>
        </is>
      </c>
      <c r="B2" s="21" t="inlineStr">
        <is>
          <t>Example</t>
        </is>
      </c>
      <c r="C2" s="21" t="inlineStr">
        <is>
          <t>Example</t>
        </is>
      </c>
      <c r="D2" s="21" t="inlineStr">
        <is>
          <t>Example</t>
        </is>
      </c>
      <c r="E2" s="21" t="inlineStr">
        <is>
          <t>Example</t>
        </is>
      </c>
      <c r="F2" s="20" t="inlineStr">
        <is>
          <t>Испания</t>
        </is>
      </c>
      <c r="G2" s="21" t="inlineStr">
        <is>
          <t>Example</t>
        </is>
      </c>
      <c r="H2" s="21" t="inlineStr">
        <is>
          <t>Example</t>
        </is>
      </c>
      <c r="I2" s="21" t="inlineStr">
        <is>
          <t>Example</t>
        </is>
      </c>
      <c r="J2" s="18" t="n">
        <v>1</v>
      </c>
      <c r="K2" s="22" t="inlineStr">
        <is>
          <t>Шт</t>
        </is>
      </c>
      <c r="L2" s="2" t="n">
        <v>0.8</v>
      </c>
      <c r="M2" s="3" t="n">
        <v>1.5</v>
      </c>
      <c r="N2" s="23" t="inlineStr">
        <is>
          <t>Полиэтиленовый пакет</t>
        </is>
      </c>
      <c r="O2" s="21" t="inlineStr">
        <is>
          <t>Example</t>
        </is>
      </c>
      <c r="P2" s="4" t="n">
        <v>1356.79</v>
      </c>
      <c r="Q2" s="4">
        <f>P2*J2</f>
        <v/>
      </c>
      <c r="R2" s="21" t="n"/>
      <c r="S2" s="17" t="n"/>
      <c r="T2" s="17" t="n"/>
    </row>
    <row r="3" ht="30.6" customFormat="1" customHeight="1" s="5">
      <c r="A3" s="20" t="inlineStr">
        <is>
          <t>04362021D</t>
        </is>
      </c>
      <c r="B3" s="21" t="inlineStr">
        <is>
          <t>Example</t>
        </is>
      </c>
      <c r="C3" s="21" t="inlineStr">
        <is>
          <t>Example</t>
        </is>
      </c>
      <c r="D3" s="21" t="inlineStr">
        <is>
          <t>Example</t>
        </is>
      </c>
      <c r="E3" s="21" t="inlineStr">
        <is>
          <t>Example</t>
        </is>
      </c>
      <c r="F3" s="20" t="inlineStr">
        <is>
          <t>Испания</t>
        </is>
      </c>
      <c r="G3" s="21" t="inlineStr">
        <is>
          <t>Example</t>
        </is>
      </c>
      <c r="H3" s="21" t="inlineStr">
        <is>
          <t>Example</t>
        </is>
      </c>
      <c r="I3" s="21" t="inlineStr">
        <is>
          <t>Example</t>
        </is>
      </c>
      <c r="J3" s="18" t="n">
        <v>1</v>
      </c>
      <c r="K3" s="22" t="inlineStr">
        <is>
          <t>Шт</t>
        </is>
      </c>
      <c r="L3" s="2" t="n">
        <v>0.2</v>
      </c>
      <c r="M3" s="3" t="n">
        <v>0.3</v>
      </c>
      <c r="N3" s="23" t="inlineStr">
        <is>
          <t>Полиэтиленовый пакет</t>
        </is>
      </c>
      <c r="O3" s="21" t="inlineStr">
        <is>
          <t>Example</t>
        </is>
      </c>
      <c r="P3" s="4" t="n">
        <v>345.97</v>
      </c>
      <c r="Q3" s="4">
        <f>P3*J3</f>
        <v/>
      </c>
      <c r="R3" s="21" t="n"/>
      <c r="S3" s="17" t="n"/>
      <c r="T3" s="17" t="n"/>
    </row>
    <row r="4" ht="61.2" customFormat="1" customHeight="1" s="5">
      <c r="A4" s="20" t="inlineStr">
        <is>
          <t>050200945</t>
        </is>
      </c>
      <c r="B4" s="21" t="inlineStr">
        <is>
          <t>Example</t>
        </is>
      </c>
      <c r="C4" s="21" t="inlineStr">
        <is>
          <t>Example</t>
        </is>
      </c>
      <c r="D4" s="21" t="inlineStr">
        <is>
          <t>Example</t>
        </is>
      </c>
      <c r="E4" s="21" t="inlineStr">
        <is>
          <t>Example</t>
        </is>
      </c>
      <c r="F4" s="20" t="inlineStr">
        <is>
          <t>Испания</t>
        </is>
      </c>
      <c r="G4" s="21" t="inlineStr">
        <is>
          <t>Example</t>
        </is>
      </c>
      <c r="H4" s="21" t="inlineStr">
        <is>
          <t>Example</t>
        </is>
      </c>
      <c r="I4" s="21" t="inlineStr">
        <is>
          <t>Example</t>
        </is>
      </c>
      <c r="J4" s="18" t="n">
        <v>1</v>
      </c>
      <c r="K4" s="22" t="inlineStr">
        <is>
          <t>Шт</t>
        </is>
      </c>
      <c r="L4" s="2" t="n">
        <v>0.05</v>
      </c>
      <c r="M4" s="3" t="n">
        <v>0.08</v>
      </c>
      <c r="N4" s="23" t="inlineStr">
        <is>
          <t>Полиэтиленовый пакет</t>
        </is>
      </c>
      <c r="O4" s="21" t="inlineStr">
        <is>
          <t>Example</t>
        </is>
      </c>
      <c r="P4" s="4" t="n">
        <v>1400.62</v>
      </c>
      <c r="Q4" s="4">
        <f>P4*J4</f>
        <v/>
      </c>
      <c r="R4" s="21" t="n"/>
      <c r="S4" s="19" t="n"/>
      <c r="T4" s="19" t="n"/>
    </row>
    <row r="5" ht="81.59999999999999" customFormat="1" customHeight="1" s="5">
      <c r="A5" s="20" t="inlineStr">
        <is>
          <t>S03601</t>
        </is>
      </c>
      <c r="B5" s="21" t="inlineStr">
        <is>
          <t>Example</t>
        </is>
      </c>
      <c r="C5" s="21" t="inlineStr">
        <is>
          <t>Example</t>
        </is>
      </c>
      <c r="D5" s="21" t="inlineStr">
        <is>
          <t>Example</t>
        </is>
      </c>
      <c r="E5" s="21" t="inlineStr">
        <is>
          <t>Example</t>
        </is>
      </c>
      <c r="F5" s="20" t="inlineStr">
        <is>
          <t>Испания</t>
        </is>
      </c>
      <c r="G5" s="21" t="inlineStr">
        <is>
          <t>Example</t>
        </is>
      </c>
      <c r="H5" s="21" t="inlineStr">
        <is>
          <t>Example</t>
        </is>
      </c>
      <c r="I5" s="21" t="inlineStr">
        <is>
          <t>Example</t>
        </is>
      </c>
      <c r="J5" s="18" t="n">
        <v>2</v>
      </c>
      <c r="K5" s="22" t="inlineStr">
        <is>
          <t>Шт</t>
        </is>
      </c>
      <c r="L5" s="2" t="n">
        <v>4</v>
      </c>
      <c r="M5" s="3" t="n">
        <v>6</v>
      </c>
      <c r="N5" s="23" t="inlineStr">
        <is>
          <t>Картонная коробка</t>
        </is>
      </c>
      <c r="O5" s="21" t="inlineStr">
        <is>
          <t>Example</t>
        </is>
      </c>
      <c r="P5" s="4" t="n">
        <v>898.65</v>
      </c>
      <c r="Q5" s="4">
        <f>P5*J5</f>
        <v/>
      </c>
      <c r="R5" s="21" t="inlineStr">
        <is>
          <t>Example</t>
        </is>
      </c>
      <c r="S5" s="17" t="n">
        <v>44259</v>
      </c>
      <c r="T5" s="17" t="n">
        <v>45353</v>
      </c>
    </row>
    <row r="6" ht="51" customFormat="1" customHeight="1" s="5">
      <c r="A6" s="20" t="inlineStr">
        <is>
          <t>070001317</t>
        </is>
      </c>
      <c r="B6" s="21" t="inlineStr">
        <is>
          <t>Example</t>
        </is>
      </c>
      <c r="C6" s="21" t="inlineStr">
        <is>
          <t>Example</t>
        </is>
      </c>
      <c r="D6" s="21" t="inlineStr">
        <is>
          <t>Example</t>
        </is>
      </c>
      <c r="E6" s="21" t="inlineStr">
        <is>
          <t>Example</t>
        </is>
      </c>
      <c r="F6" s="20" t="inlineStr">
        <is>
          <t>Испания</t>
        </is>
      </c>
      <c r="G6" s="21" t="inlineStr">
        <is>
          <t>Example</t>
        </is>
      </c>
      <c r="H6" s="21" t="inlineStr">
        <is>
          <t>Example</t>
        </is>
      </c>
      <c r="I6" s="21" t="inlineStr">
        <is>
          <t>Example</t>
        </is>
      </c>
      <c r="J6" s="18" t="n">
        <v>1</v>
      </c>
      <c r="K6" s="22" t="inlineStr">
        <is>
          <t>Шт</t>
        </is>
      </c>
      <c r="L6" s="2" t="n">
        <v>0.2</v>
      </c>
      <c r="M6" s="3" t="n">
        <v>0.3</v>
      </c>
      <c r="N6" s="23" t="inlineStr">
        <is>
          <t>Картонная коробка</t>
        </is>
      </c>
      <c r="O6" s="21" t="inlineStr">
        <is>
          <t>Example</t>
        </is>
      </c>
      <c r="P6" s="4" t="n">
        <v>944.72</v>
      </c>
      <c r="Q6" s="4">
        <f>P6*J6</f>
        <v/>
      </c>
      <c r="R6" s="21" t="inlineStr">
        <is>
          <t>Example</t>
        </is>
      </c>
      <c r="S6" s="17" t="n">
        <v>44259</v>
      </c>
      <c r="T6" s="17" t="n">
        <v>45353</v>
      </c>
    </row>
    <row r="7" ht="61.2" customFormat="1" customHeight="1" s="5">
      <c r="A7" s="20" t="inlineStr">
        <is>
          <t>052400004</t>
        </is>
      </c>
      <c r="B7" s="21" t="inlineStr">
        <is>
          <t>Example</t>
        </is>
      </c>
      <c r="C7" s="21" t="inlineStr">
        <is>
          <t>Example</t>
        </is>
      </c>
      <c r="D7" s="21" t="inlineStr">
        <is>
          <t>Example</t>
        </is>
      </c>
      <c r="E7" s="21" t="inlineStr">
        <is>
          <t>Example</t>
        </is>
      </c>
      <c r="F7" s="20" t="inlineStr">
        <is>
          <t>Испания</t>
        </is>
      </c>
      <c r="G7" s="21" t="inlineStr">
        <is>
          <t>Example</t>
        </is>
      </c>
      <c r="H7" s="21" t="inlineStr">
        <is>
          <t>Example</t>
        </is>
      </c>
      <c r="I7" s="21" t="inlineStr">
        <is>
          <t>Example</t>
        </is>
      </c>
      <c r="J7" s="18" t="n">
        <v>3</v>
      </c>
      <c r="K7" s="22" t="inlineStr">
        <is>
          <t>Шт</t>
        </is>
      </c>
      <c r="L7" s="2" t="n">
        <v>0.15</v>
      </c>
      <c r="M7" s="3" t="n">
        <v>0.25</v>
      </c>
      <c r="N7" s="23" t="inlineStr">
        <is>
          <t>Полиэтиленовый пакет</t>
        </is>
      </c>
      <c r="O7" s="21" t="inlineStr">
        <is>
          <t>Example</t>
        </is>
      </c>
      <c r="P7" s="4" t="n">
        <v>1646.06</v>
      </c>
      <c r="Q7" s="4">
        <f>P7*J7</f>
        <v/>
      </c>
      <c r="R7" s="21" t="n"/>
      <c r="S7" s="19" t="n"/>
      <c r="T7" s="19" t="n"/>
    </row>
    <row r="8" ht="102" customFormat="1" customHeight="1" s="5">
      <c r="A8" s="20" t="inlineStr">
        <is>
          <t>C366C1</t>
        </is>
      </c>
      <c r="B8" s="21" t="inlineStr">
        <is>
          <t>Example</t>
        </is>
      </c>
      <c r="C8" s="21" t="inlineStr">
        <is>
          <t>Example</t>
        </is>
      </c>
      <c r="D8" s="21" t="inlineStr">
        <is>
          <t>Example</t>
        </is>
      </c>
      <c r="E8" s="21" t="inlineStr">
        <is>
          <t>Example</t>
        </is>
      </c>
      <c r="F8" s="20" t="inlineStr">
        <is>
          <t>Испания</t>
        </is>
      </c>
      <c r="G8" s="21" t="inlineStr">
        <is>
          <t>Example</t>
        </is>
      </c>
      <c r="H8" s="21" t="inlineStr">
        <is>
          <t>Example</t>
        </is>
      </c>
      <c r="I8" s="21" t="inlineStr">
        <is>
          <t>Example</t>
        </is>
      </c>
      <c r="J8" s="18" t="n">
        <v>1</v>
      </c>
      <c r="K8" s="22" t="inlineStr">
        <is>
          <t>Шт</t>
        </is>
      </c>
      <c r="L8" s="2" t="n">
        <v>0.2</v>
      </c>
      <c r="M8" s="3" t="n">
        <v>0.35</v>
      </c>
      <c r="N8" s="23" t="inlineStr">
        <is>
          <t>Полиэтиленовый пакет</t>
        </is>
      </c>
      <c r="O8" s="21" t="inlineStr">
        <is>
          <t>Example</t>
        </is>
      </c>
      <c r="P8" s="4" t="n">
        <v>793.29</v>
      </c>
      <c r="Q8" s="4">
        <f>P8*J8</f>
        <v/>
      </c>
      <c r="R8" s="21" t="n"/>
      <c r="S8" s="17" t="n"/>
      <c r="T8" s="17" t="n"/>
    </row>
    <row r="9" ht="40.8" customFormat="1" customHeight="1" s="5">
      <c r="A9" s="20" t="inlineStr">
        <is>
          <t>040500253</t>
        </is>
      </c>
      <c r="B9" s="21" t="inlineStr">
        <is>
          <t>Example</t>
        </is>
      </c>
      <c r="C9" s="21" t="inlineStr">
        <is>
          <t>Example</t>
        </is>
      </c>
      <c r="D9" s="21" t="inlineStr">
        <is>
          <t>Example</t>
        </is>
      </c>
      <c r="E9" s="21" t="inlineStr">
        <is>
          <t>Example</t>
        </is>
      </c>
      <c r="F9" s="20" t="inlineStr">
        <is>
          <t>Испания</t>
        </is>
      </c>
      <c r="G9" s="21" t="inlineStr">
        <is>
          <t>Example</t>
        </is>
      </c>
      <c r="H9" s="21" t="inlineStr">
        <is>
          <t>Example</t>
        </is>
      </c>
      <c r="I9" s="21" t="inlineStr">
        <is>
          <t>Example</t>
        </is>
      </c>
      <c r="J9" s="18" t="n">
        <v>14</v>
      </c>
      <c r="K9" s="22" t="inlineStr">
        <is>
          <t>Шт</t>
        </is>
      </c>
      <c r="L9" s="2" t="n">
        <v>0.2</v>
      </c>
      <c r="M9" s="3" t="n">
        <v>0.3</v>
      </c>
      <c r="N9" s="23" t="inlineStr">
        <is>
          <t>Полиэтиленовый пакет</t>
        </is>
      </c>
      <c r="O9" s="21" t="inlineStr">
        <is>
          <t>Example</t>
        </is>
      </c>
      <c r="P9" s="4" t="n">
        <v>721.34</v>
      </c>
      <c r="Q9" s="4">
        <f>P9*J9</f>
        <v/>
      </c>
      <c r="R9" s="21" t="n"/>
      <c r="S9" s="17" t="n"/>
      <c r="T9" s="17" t="n"/>
    </row>
    <row r="10" ht="40.8" customFormat="1" customHeight="1" s="5">
      <c r="A10" s="20" t="inlineStr">
        <is>
          <t>040500048</t>
        </is>
      </c>
      <c r="B10" s="21" t="inlineStr">
        <is>
          <t>Example</t>
        </is>
      </c>
      <c r="C10" s="21" t="inlineStr">
        <is>
          <t>Example</t>
        </is>
      </c>
      <c r="D10" s="21" t="inlineStr">
        <is>
          <t>Example</t>
        </is>
      </c>
      <c r="E10" s="21" t="inlineStr">
        <is>
          <t>Example</t>
        </is>
      </c>
      <c r="F10" s="20" t="inlineStr">
        <is>
          <t>Испания</t>
        </is>
      </c>
      <c r="G10" s="21" t="inlineStr">
        <is>
          <t>Example</t>
        </is>
      </c>
      <c r="H10" s="21" t="inlineStr">
        <is>
          <t>Example</t>
        </is>
      </c>
      <c r="I10" s="21" t="inlineStr">
        <is>
          <t>Example</t>
        </is>
      </c>
      <c r="J10" s="18" t="n">
        <v>6</v>
      </c>
      <c r="K10" s="22" t="inlineStr">
        <is>
          <t>Шт</t>
        </is>
      </c>
      <c r="L10" s="2" t="n">
        <v>0.1</v>
      </c>
      <c r="M10" s="3" t="n">
        <v>0.15</v>
      </c>
      <c r="N10" s="23" t="inlineStr">
        <is>
          <t>Полиэтиленовый пакет</t>
        </is>
      </c>
      <c r="O10" s="21" t="inlineStr">
        <is>
          <t>Example</t>
        </is>
      </c>
      <c r="P10" s="4" t="n">
        <v>686.4400000000001</v>
      </c>
      <c r="Q10" s="4">
        <f>P10*J10</f>
        <v/>
      </c>
      <c r="R10" s="21" t="n"/>
      <c r="S10" s="17" t="n"/>
      <c r="T10" s="18" t="n"/>
    </row>
    <row r="11" ht="40.8" customFormat="1" customHeight="1" s="5">
      <c r="A11" s="20" t="inlineStr">
        <is>
          <t>040500024</t>
        </is>
      </c>
      <c r="B11" s="21" t="inlineStr">
        <is>
          <t>Example</t>
        </is>
      </c>
      <c r="C11" s="21" t="inlineStr">
        <is>
          <t>Example</t>
        </is>
      </c>
      <c r="D11" s="21" t="inlineStr">
        <is>
          <t>Example</t>
        </is>
      </c>
      <c r="E11" s="21" t="inlineStr">
        <is>
          <t>Example</t>
        </is>
      </c>
      <c r="F11" s="20" t="inlineStr">
        <is>
          <t>Испания</t>
        </is>
      </c>
      <c r="G11" s="21" t="inlineStr">
        <is>
          <t>Example</t>
        </is>
      </c>
      <c r="H11" s="21" t="inlineStr">
        <is>
          <t>Example</t>
        </is>
      </c>
      <c r="I11" s="21" t="inlineStr">
        <is>
          <t>Example</t>
        </is>
      </c>
      <c r="J11" s="18" t="n">
        <v>2</v>
      </c>
      <c r="K11" s="22" t="inlineStr">
        <is>
          <t>Шт</t>
        </is>
      </c>
      <c r="L11" s="2" t="n">
        <v>0.08</v>
      </c>
      <c r="M11" s="3" t="n">
        <v>0.1</v>
      </c>
      <c r="N11" s="23" t="inlineStr">
        <is>
          <t>Полиэтиленовый пакет</t>
        </is>
      </c>
      <c r="O11" s="21" t="inlineStr">
        <is>
          <t>Example</t>
        </is>
      </c>
      <c r="P11" s="4" t="n">
        <v>1890.6</v>
      </c>
      <c r="Q11" s="4">
        <f>P11*J11</f>
        <v/>
      </c>
      <c r="R11" s="21" t="n"/>
      <c r="S11" s="17" t="n"/>
      <c r="T11" s="17" t="n"/>
    </row>
    <row r="12" ht="30.6" customFormat="1" customHeight="1" s="5">
      <c r="A12" s="20" t="inlineStr">
        <is>
          <t>04290102B</t>
        </is>
      </c>
      <c r="B12" s="21" t="inlineStr">
        <is>
          <t>Example</t>
        </is>
      </c>
      <c r="C12" s="21" t="inlineStr">
        <is>
          <t>Example</t>
        </is>
      </c>
      <c r="D12" s="21" t="inlineStr">
        <is>
          <t>Example</t>
        </is>
      </c>
      <c r="E12" s="21" t="inlineStr">
        <is>
          <t>Example</t>
        </is>
      </c>
      <c r="F12" s="20" t="inlineStr">
        <is>
          <t>Испания</t>
        </is>
      </c>
      <c r="G12" s="21" t="inlineStr">
        <is>
          <t>Example</t>
        </is>
      </c>
      <c r="H12" s="21" t="inlineStr">
        <is>
          <t>Example</t>
        </is>
      </c>
      <c r="I12" s="21" t="inlineStr">
        <is>
          <t>Example</t>
        </is>
      </c>
      <c r="J12" s="18" t="n">
        <v>3</v>
      </c>
      <c r="K12" s="22" t="inlineStr">
        <is>
          <t>Шт</t>
        </is>
      </c>
      <c r="L12" s="2" t="n">
        <v>0.9</v>
      </c>
      <c r="M12" s="3" t="n">
        <v>1.5</v>
      </c>
      <c r="N12" s="23" t="inlineStr">
        <is>
          <t>Полиэтиленовый пакет</t>
        </is>
      </c>
      <c r="O12" s="21" t="inlineStr">
        <is>
          <t>Example</t>
        </is>
      </c>
      <c r="P12" s="4" t="n">
        <v>229.2</v>
      </c>
      <c r="Q12" s="4">
        <f>P12*J12</f>
        <v/>
      </c>
      <c r="R12" s="21" t="n"/>
      <c r="S12" s="17" t="n"/>
      <c r="T12" s="17" t="n"/>
    </row>
    <row r="13" ht="40.8" customFormat="1" customHeight="1" s="5">
      <c r="A13" s="20" t="inlineStr">
        <is>
          <t>E094A1</t>
        </is>
      </c>
      <c r="B13" s="21" t="inlineStr">
        <is>
          <t>Example</t>
        </is>
      </c>
      <c r="C13" s="21" t="inlineStr">
        <is>
          <t>Example</t>
        </is>
      </c>
      <c r="D13" s="21" t="inlineStr">
        <is>
          <t>Example</t>
        </is>
      </c>
      <c r="E13" s="21" t="inlineStr">
        <is>
          <t>Example</t>
        </is>
      </c>
      <c r="F13" s="20" t="inlineStr">
        <is>
          <t>Испания</t>
        </is>
      </c>
      <c r="G13" s="21" t="inlineStr">
        <is>
          <t>Example</t>
        </is>
      </c>
      <c r="H13" s="21" t="inlineStr">
        <is>
          <t>Example</t>
        </is>
      </c>
      <c r="I13" s="21" t="inlineStr">
        <is>
          <t>Example</t>
        </is>
      </c>
      <c r="J13" s="18" t="n">
        <v>1</v>
      </c>
      <c r="K13" s="22" t="inlineStr">
        <is>
          <t>Шт</t>
        </is>
      </c>
      <c r="L13" s="2" t="n">
        <v>0.3</v>
      </c>
      <c r="M13" s="3" t="n">
        <v>0.5</v>
      </c>
      <c r="N13" s="23" t="inlineStr">
        <is>
          <t>Картонная коробка</t>
        </is>
      </c>
      <c r="O13" s="21" t="inlineStr">
        <is>
          <t>Example</t>
        </is>
      </c>
      <c r="P13" s="4" t="n">
        <v>1014.95</v>
      </c>
      <c r="Q13" s="4">
        <f>P13*J13</f>
        <v/>
      </c>
      <c r="R13" s="21" t="n"/>
      <c r="S13" s="17" t="n"/>
      <c r="T13" s="17" t="n"/>
    </row>
    <row r="14" ht="51" customFormat="1" customHeight="1" s="5">
      <c r="A14" s="20" t="inlineStr">
        <is>
          <t>070001194</t>
        </is>
      </c>
      <c r="B14" s="21" t="inlineStr">
        <is>
          <t>Example</t>
        </is>
      </c>
      <c r="C14" s="21" t="inlineStr">
        <is>
          <t>Example</t>
        </is>
      </c>
      <c r="D14" s="21" t="inlineStr">
        <is>
          <t>Example</t>
        </is>
      </c>
      <c r="E14" s="21" t="inlineStr">
        <is>
          <t>Example</t>
        </is>
      </c>
      <c r="F14" s="20" t="inlineStr">
        <is>
          <t>Испания</t>
        </is>
      </c>
      <c r="G14" s="21" t="inlineStr">
        <is>
          <t>Example</t>
        </is>
      </c>
      <c r="H14" s="21" t="inlineStr">
        <is>
          <t>Example</t>
        </is>
      </c>
      <c r="I14" s="21" t="inlineStr">
        <is>
          <t>Example</t>
        </is>
      </c>
      <c r="J14" s="18" t="n">
        <v>2</v>
      </c>
      <c r="K14" s="22" t="inlineStr">
        <is>
          <t>Шт</t>
        </is>
      </c>
      <c r="L14" s="2" t="n">
        <v>0.1</v>
      </c>
      <c r="M14" s="3" t="n">
        <v>0.15</v>
      </c>
      <c r="N14" s="23" t="inlineStr">
        <is>
          <t>Полиэтиленовый пакет</t>
        </is>
      </c>
      <c r="O14" s="21" t="inlineStr">
        <is>
          <t>Example</t>
        </is>
      </c>
      <c r="P14" s="4" t="n">
        <v>74.26000000000001</v>
      </c>
      <c r="Q14" s="4">
        <f>P14*J14</f>
        <v/>
      </c>
      <c r="R14" s="21" t="n"/>
      <c r="S14" s="17" t="n"/>
      <c r="T14" s="17" t="n"/>
    </row>
    <row r="15" ht="61.2" customFormat="1" customHeight="1" s="5">
      <c r="A15" s="20" t="inlineStr">
        <is>
          <t>070001196</t>
        </is>
      </c>
      <c r="B15" s="21" t="inlineStr">
        <is>
          <t>Example</t>
        </is>
      </c>
      <c r="C15" s="21" t="inlineStr">
        <is>
          <t>Example</t>
        </is>
      </c>
      <c r="D15" s="21" t="inlineStr">
        <is>
          <t>Example</t>
        </is>
      </c>
      <c r="E15" s="21" t="inlineStr">
        <is>
          <t>Example</t>
        </is>
      </c>
      <c r="F15" s="20" t="inlineStr">
        <is>
          <t>Испания</t>
        </is>
      </c>
      <c r="G15" s="21" t="inlineStr">
        <is>
          <t>Example</t>
        </is>
      </c>
      <c r="H15" s="21" t="inlineStr">
        <is>
          <t>Example</t>
        </is>
      </c>
      <c r="I15" s="21" t="inlineStr">
        <is>
          <t>Example</t>
        </is>
      </c>
      <c r="J15" s="18" t="n">
        <v>2</v>
      </c>
      <c r="K15" s="22" t="inlineStr">
        <is>
          <t>Шт</t>
        </is>
      </c>
      <c r="L15" s="2" t="n">
        <v>0.1</v>
      </c>
      <c r="M15" s="3" t="n">
        <v>0.15</v>
      </c>
      <c r="N15" s="23" t="inlineStr">
        <is>
          <t>Полиэтиленовый пакет</t>
        </is>
      </c>
      <c r="O15" s="21" t="inlineStr">
        <is>
          <t>Example</t>
        </is>
      </c>
      <c r="P15" s="4" t="n">
        <v>1762.58</v>
      </c>
      <c r="Q15" s="4">
        <f>P15*J15</f>
        <v/>
      </c>
      <c r="R15" s="21" t="n"/>
      <c r="S15" s="17" t="n"/>
      <c r="T15" s="17" t="n"/>
    </row>
    <row r="16" ht="51" customFormat="1" customHeight="1" s="5">
      <c r="A16" s="20" t="inlineStr">
        <is>
          <t>F40701</t>
        </is>
      </c>
      <c r="B16" s="21" t="inlineStr">
        <is>
          <t>Example</t>
        </is>
      </c>
      <c r="C16" s="21" t="inlineStr">
        <is>
          <t>Example</t>
        </is>
      </c>
      <c r="D16" s="21" t="inlineStr">
        <is>
          <t>Example</t>
        </is>
      </c>
      <c r="E16" s="21" t="inlineStr">
        <is>
          <t>Example</t>
        </is>
      </c>
      <c r="F16" s="20" t="inlineStr">
        <is>
          <t>Испания</t>
        </is>
      </c>
      <c r="G16" s="21" t="inlineStr">
        <is>
          <t>Example</t>
        </is>
      </c>
      <c r="H16" s="21" t="inlineStr">
        <is>
          <t>Example</t>
        </is>
      </c>
      <c r="I16" s="21" t="inlineStr">
        <is>
          <t>Example</t>
        </is>
      </c>
      <c r="J16" s="18" t="n">
        <v>9</v>
      </c>
      <c r="K16" s="22" t="inlineStr">
        <is>
          <t>Шт</t>
        </is>
      </c>
      <c r="L16" s="2" t="n">
        <v>9</v>
      </c>
      <c r="M16" s="3" t="n">
        <v>13</v>
      </c>
      <c r="N16" s="23" t="inlineStr">
        <is>
          <t>Пластиковая бутылка</t>
        </is>
      </c>
      <c r="O16" s="21" t="inlineStr">
        <is>
          <t>Example</t>
        </is>
      </c>
      <c r="P16" s="4" t="n">
        <v>815.6799999999999</v>
      </c>
      <c r="Q16" s="4">
        <f>P16*J16</f>
        <v/>
      </c>
      <c r="R16" s="21" t="n"/>
      <c r="S16" s="17" t="n"/>
      <c r="T16" s="17" t="n"/>
      <c r="U16" s="21" t="inlineStr">
        <is>
          <t>Протокол испытаний №И20201228-012</t>
        </is>
      </c>
      <c r="V16" s="17" t="n">
        <v>44193</v>
      </c>
      <c r="W16" s="18" t="inlineStr">
        <is>
          <t>—</t>
        </is>
      </c>
    </row>
    <row r="17" ht="102" customFormat="1" customHeight="1" s="5">
      <c r="A17" s="20" t="inlineStr">
        <is>
          <t>C442B2</t>
        </is>
      </c>
      <c r="B17" s="21" t="inlineStr">
        <is>
          <t>Example</t>
        </is>
      </c>
      <c r="C17" s="21" t="inlineStr">
        <is>
          <t>Example</t>
        </is>
      </c>
      <c r="D17" s="21" t="inlineStr">
        <is>
          <t>Example</t>
        </is>
      </c>
      <c r="E17" s="21" t="inlineStr">
        <is>
          <t>Example</t>
        </is>
      </c>
      <c r="F17" s="20" t="inlineStr">
        <is>
          <t>Испания</t>
        </is>
      </c>
      <c r="G17" s="21" t="inlineStr">
        <is>
          <t>Example</t>
        </is>
      </c>
      <c r="H17" s="21" t="inlineStr">
        <is>
          <t>Example</t>
        </is>
      </c>
      <c r="I17" s="21" t="inlineStr">
        <is>
          <t>Example</t>
        </is>
      </c>
      <c r="J17" s="18" t="n">
        <v>2</v>
      </c>
      <c r="K17" s="22" t="inlineStr">
        <is>
          <t>Шт</t>
        </is>
      </c>
      <c r="L17" s="2" t="n">
        <v>0.6</v>
      </c>
      <c r="M17" s="3" t="n">
        <v>0.8</v>
      </c>
      <c r="N17" s="23" t="inlineStr">
        <is>
          <t>Полиэтиленовый пакет</t>
        </is>
      </c>
      <c r="O17" s="21" t="inlineStr">
        <is>
          <t>Example</t>
        </is>
      </c>
      <c r="P17" s="4" t="n">
        <v>935.5599999999999</v>
      </c>
      <c r="Q17" s="4">
        <f>P17*J17</f>
        <v/>
      </c>
      <c r="R17" s="21" t="n"/>
      <c r="S17" s="19" t="n"/>
      <c r="T17" s="19" t="n"/>
    </row>
    <row r="18" ht="40.8" customFormat="1" customHeight="1" s="5">
      <c r="A18" s="20" t="inlineStr">
        <is>
          <t>L17801</t>
        </is>
      </c>
      <c r="B18" s="21" t="inlineStr">
        <is>
          <t>Example</t>
        </is>
      </c>
      <c r="C18" s="21" t="inlineStr">
        <is>
          <t>Example</t>
        </is>
      </c>
      <c r="D18" s="21" t="inlineStr">
        <is>
          <t>Example</t>
        </is>
      </c>
      <c r="E18" s="21" t="inlineStr">
        <is>
          <t>Example</t>
        </is>
      </c>
      <c r="F18" s="20" t="inlineStr">
        <is>
          <t>Испания</t>
        </is>
      </c>
      <c r="G18" s="21" t="inlineStr">
        <is>
          <t>Example</t>
        </is>
      </c>
      <c r="H18" s="21" t="inlineStr">
        <is>
          <t>Example</t>
        </is>
      </c>
      <c r="I18" s="21" t="inlineStr">
        <is>
          <t>Example</t>
        </is>
      </c>
      <c r="J18" s="18" t="n">
        <v>1</v>
      </c>
      <c r="K18" s="22" t="inlineStr">
        <is>
          <t>Шт</t>
        </is>
      </c>
      <c r="L18" s="2" t="n">
        <v>0.3</v>
      </c>
      <c r="M18" s="3" t="n">
        <v>0.45</v>
      </c>
      <c r="N18" s="23" t="inlineStr">
        <is>
          <t>Полиэтиленовый пакет</t>
        </is>
      </c>
      <c r="O18" s="21" t="inlineStr">
        <is>
          <t>Example</t>
        </is>
      </c>
      <c r="P18" s="4" t="n">
        <v>137.28</v>
      </c>
      <c r="Q18" s="4">
        <f>P18*J18</f>
        <v/>
      </c>
      <c r="R18" s="21" t="inlineStr">
        <is>
          <t>Example</t>
        </is>
      </c>
      <c r="S18" s="17" t="n">
        <v>44279</v>
      </c>
      <c r="T18" s="17" t="n">
        <v>45374</v>
      </c>
    </row>
    <row r="19" ht="71.40000000000001" customFormat="1" customHeight="1" s="5">
      <c r="A19" s="20" t="inlineStr">
        <is>
          <t>030404024</t>
        </is>
      </c>
      <c r="B19" s="21" t="inlineStr">
        <is>
          <t>Example</t>
        </is>
      </c>
      <c r="C19" s="21" t="inlineStr">
        <is>
          <t>Example</t>
        </is>
      </c>
      <c r="D19" s="21" t="inlineStr">
        <is>
          <t>Example</t>
        </is>
      </c>
      <c r="E19" s="21" t="inlineStr">
        <is>
          <t>Example</t>
        </is>
      </c>
      <c r="F19" s="20" t="inlineStr">
        <is>
          <t>Испания</t>
        </is>
      </c>
      <c r="G19" s="21" t="inlineStr">
        <is>
          <t>Example</t>
        </is>
      </c>
      <c r="H19" s="21" t="inlineStr">
        <is>
          <t>Example</t>
        </is>
      </c>
      <c r="I19" s="21" t="inlineStr">
        <is>
          <t>Example</t>
        </is>
      </c>
      <c r="J19" s="18" t="n">
        <v>2</v>
      </c>
      <c r="K19" s="22" t="inlineStr">
        <is>
          <t>Кг</t>
        </is>
      </c>
      <c r="L19" s="2" t="n">
        <v>2</v>
      </c>
      <c r="M19" s="3" t="n">
        <v>2.3</v>
      </c>
      <c r="N19" s="23" t="inlineStr">
        <is>
          <t>Пластиковая бутылка</t>
        </is>
      </c>
      <c r="O19" s="21" t="inlineStr">
        <is>
          <t>Example</t>
        </is>
      </c>
      <c r="P19" s="4" t="n">
        <v>1526</v>
      </c>
      <c r="Q19" s="4">
        <f>P19*J19</f>
        <v/>
      </c>
      <c r="R19" s="21" t="n"/>
      <c r="S19" s="17" t="n"/>
      <c r="T19" s="17" t="n"/>
      <c r="U19" s="21" t="inlineStr">
        <is>
          <t>Протокол испытаний №И20201228-013</t>
        </is>
      </c>
      <c r="V19" s="17" t="n">
        <v>44193</v>
      </c>
      <c r="W19" s="18" t="inlineStr">
        <is>
          <t>—</t>
        </is>
      </c>
    </row>
    <row r="20" ht="30.6" customFormat="1" customHeight="1" s="5">
      <c r="A20" s="20" t="inlineStr">
        <is>
          <t>050200510</t>
        </is>
      </c>
      <c r="B20" s="21" t="inlineStr">
        <is>
          <t>Example</t>
        </is>
      </c>
      <c r="C20" s="21" t="inlineStr">
        <is>
          <t>Example</t>
        </is>
      </c>
      <c r="D20" s="21" t="inlineStr">
        <is>
          <t>Example</t>
        </is>
      </c>
      <c r="E20" s="21" t="inlineStr">
        <is>
          <t>Example</t>
        </is>
      </c>
      <c r="F20" s="20" t="inlineStr">
        <is>
          <t>Испания</t>
        </is>
      </c>
      <c r="G20" s="21" t="inlineStr">
        <is>
          <t>Example</t>
        </is>
      </c>
      <c r="H20" s="21" t="inlineStr">
        <is>
          <t>Example</t>
        </is>
      </c>
      <c r="I20" s="21" t="inlineStr">
        <is>
          <t>Example</t>
        </is>
      </c>
      <c r="J20" s="18" t="n">
        <v>1</v>
      </c>
      <c r="K20" s="22" t="inlineStr">
        <is>
          <t>Шт</t>
        </is>
      </c>
      <c r="L20" s="2" t="n">
        <v>0.05</v>
      </c>
      <c r="M20" s="3" t="n">
        <v>0.08</v>
      </c>
      <c r="N20" s="23" t="inlineStr">
        <is>
          <t>Полиэтиленовый пакет</t>
        </is>
      </c>
      <c r="O20" s="21" t="inlineStr">
        <is>
          <t>Example</t>
        </is>
      </c>
      <c r="P20" s="4" t="n">
        <v>1853.28</v>
      </c>
      <c r="Q20" s="4">
        <f>P20*J20</f>
        <v/>
      </c>
      <c r="R20" s="21" t="n"/>
      <c r="S20" s="17" t="n"/>
      <c r="T20" s="17" t="n"/>
    </row>
    <row r="21" ht="61.2" customFormat="1" customHeight="1" s="5">
      <c r="A21" s="20" t="inlineStr">
        <is>
          <t>L19201</t>
        </is>
      </c>
      <c r="B21" s="21" t="inlineStr">
        <is>
          <t>Example</t>
        </is>
      </c>
      <c r="C21" s="21" t="inlineStr">
        <is>
          <t>Example</t>
        </is>
      </c>
      <c r="D21" s="21" t="inlineStr">
        <is>
          <t>Example</t>
        </is>
      </c>
      <c r="E21" s="21" t="inlineStr">
        <is>
          <t>Example</t>
        </is>
      </c>
      <c r="F21" s="20" t="inlineStr">
        <is>
          <t>Испания</t>
        </is>
      </c>
      <c r="G21" s="21" t="inlineStr">
        <is>
          <t>Example</t>
        </is>
      </c>
      <c r="H21" s="21" t="inlineStr">
        <is>
          <t>Example</t>
        </is>
      </c>
      <c r="I21" s="21" t="inlineStr">
        <is>
          <t>Example</t>
        </is>
      </c>
      <c r="J21" s="18" t="n">
        <v>1</v>
      </c>
      <c r="K21" s="22" t="inlineStr">
        <is>
          <t>Шт</t>
        </is>
      </c>
      <c r="L21" s="2" t="n">
        <v>0.2</v>
      </c>
      <c r="M21" s="3" t="n">
        <v>0.3</v>
      </c>
      <c r="N21" s="23" t="inlineStr">
        <is>
          <t>Полиэтиленовый пакет</t>
        </is>
      </c>
      <c r="O21" s="21" t="inlineStr">
        <is>
          <t>Example</t>
        </is>
      </c>
      <c r="P21" s="4" t="n">
        <v>989.6799999999999</v>
      </c>
      <c r="Q21" s="4">
        <f>P21*J21</f>
        <v/>
      </c>
      <c r="R21" s="21" t="inlineStr">
        <is>
          <t>Example</t>
        </is>
      </c>
      <c r="S21" s="19" t="n">
        <v>45355</v>
      </c>
      <c r="T21" s="19" t="n">
        <v>45353</v>
      </c>
    </row>
    <row r="22" ht="30.6" customFormat="1" customHeight="1" s="5">
      <c r="A22" s="20" t="inlineStr">
        <is>
          <t>052701001</t>
        </is>
      </c>
      <c r="B22" s="21" t="inlineStr">
        <is>
          <t>Example</t>
        </is>
      </c>
      <c r="C22" s="21" t="inlineStr">
        <is>
          <t>Example</t>
        </is>
      </c>
      <c r="D22" s="21" t="inlineStr">
        <is>
          <t>Example</t>
        </is>
      </c>
      <c r="E22" s="21" t="inlineStr">
        <is>
          <t>Example</t>
        </is>
      </c>
      <c r="F22" s="20" t="inlineStr">
        <is>
          <t>Испания</t>
        </is>
      </c>
      <c r="G22" s="21" t="inlineStr">
        <is>
          <t>Example</t>
        </is>
      </c>
      <c r="H22" s="21" t="inlineStr">
        <is>
          <t>Example</t>
        </is>
      </c>
      <c r="I22" s="21" t="inlineStr">
        <is>
          <t>Example</t>
        </is>
      </c>
      <c r="J22" s="18" t="n">
        <v>3</v>
      </c>
      <c r="K22" s="22" t="inlineStr">
        <is>
          <t>Шт</t>
        </is>
      </c>
      <c r="L22" s="2" t="n">
        <v>0.1</v>
      </c>
      <c r="M22" s="3" t="n">
        <v>0.15</v>
      </c>
      <c r="N22" s="23" t="inlineStr">
        <is>
          <t>Полиэтиленовый пакет</t>
        </is>
      </c>
      <c r="O22" s="21" t="inlineStr">
        <is>
          <t>Example</t>
        </is>
      </c>
      <c r="P22" s="4" t="n">
        <v>1188.24</v>
      </c>
      <c r="Q22" s="4">
        <f>P22*J22</f>
        <v/>
      </c>
      <c r="R22" s="21" t="n"/>
      <c r="S22" s="17" t="n"/>
      <c r="T22" s="17" t="n"/>
    </row>
    <row r="23" ht="61.2" customFormat="1" customHeight="1" s="5">
      <c r="A23" s="20" t="inlineStr">
        <is>
          <t>N101301</t>
        </is>
      </c>
      <c r="B23" s="21" t="inlineStr">
        <is>
          <t>Example</t>
        </is>
      </c>
      <c r="C23" s="21" t="inlineStr">
        <is>
          <t>Example</t>
        </is>
      </c>
      <c r="D23" s="21" t="inlineStr">
        <is>
          <t>Example</t>
        </is>
      </c>
      <c r="E23" s="21" t="inlineStr">
        <is>
          <t>Example</t>
        </is>
      </c>
      <c r="F23" s="20" t="inlineStr">
        <is>
          <t>Испания</t>
        </is>
      </c>
      <c r="G23" s="21" t="inlineStr">
        <is>
          <t>Example</t>
        </is>
      </c>
      <c r="H23" s="21" t="inlineStr">
        <is>
          <t>Example</t>
        </is>
      </c>
      <c r="I23" s="21" t="inlineStr">
        <is>
          <t>Example</t>
        </is>
      </c>
      <c r="J23" s="18" t="n">
        <v>1</v>
      </c>
      <c r="K23" s="22" t="inlineStr">
        <is>
          <t>Шт</t>
        </is>
      </c>
      <c r="L23" s="2" t="n">
        <v>0.2</v>
      </c>
      <c r="M23" s="3" t="n">
        <v>0.3</v>
      </c>
      <c r="N23" s="23" t="inlineStr">
        <is>
          <t>Полиэтиленовый пакет</t>
        </is>
      </c>
      <c r="O23" s="21" t="inlineStr">
        <is>
          <t>Example</t>
        </is>
      </c>
      <c r="P23" s="4" t="n">
        <v>1231.31</v>
      </c>
      <c r="Q23" s="4">
        <f>P23*J23</f>
        <v/>
      </c>
      <c r="R23" s="21" t="n"/>
      <c r="S23" s="17" t="n"/>
      <c r="T23" s="17" t="n"/>
    </row>
    <row r="24" ht="163.2" customFormat="1" customHeight="1" s="5">
      <c r="A24" s="20" t="inlineStr">
        <is>
          <t>070001213</t>
        </is>
      </c>
      <c r="B24" s="21" t="inlineStr">
        <is>
          <t>Example</t>
        </is>
      </c>
      <c r="C24" s="21" t="inlineStr">
        <is>
          <t>Example</t>
        </is>
      </c>
      <c r="D24" s="21" t="inlineStr">
        <is>
          <t>Example</t>
        </is>
      </c>
      <c r="E24" s="21" t="inlineStr">
        <is>
          <t>Example</t>
        </is>
      </c>
      <c r="F24" s="20" t="inlineStr">
        <is>
          <t>Испания</t>
        </is>
      </c>
      <c r="G24" s="21" t="inlineStr">
        <is>
          <t>Example</t>
        </is>
      </c>
      <c r="H24" s="21" t="inlineStr">
        <is>
          <t>Example</t>
        </is>
      </c>
      <c r="I24" s="21" t="inlineStr">
        <is>
          <t>Example</t>
        </is>
      </c>
      <c r="J24" s="18" t="n">
        <v>1</v>
      </c>
      <c r="K24" s="22" t="inlineStr">
        <is>
          <t>Шт</t>
        </is>
      </c>
      <c r="L24" s="2" t="n">
        <v>0.25</v>
      </c>
      <c r="M24" s="3" t="n">
        <v>0.35</v>
      </c>
      <c r="N24" s="23" t="inlineStr">
        <is>
          <t>Пластиковая бутылка</t>
        </is>
      </c>
      <c r="O24" s="21" t="inlineStr">
        <is>
          <t>Example</t>
        </is>
      </c>
      <c r="P24" s="4" t="n">
        <v>369.19</v>
      </c>
      <c r="Q24" s="4">
        <f>P24*J24</f>
        <v/>
      </c>
      <c r="R24" s="21" t="n"/>
      <c r="S24" s="17" t="n"/>
      <c r="T24" s="17" t="n"/>
    </row>
    <row r="25" ht="51" customFormat="1" customHeight="1" s="5">
      <c r="A25" s="20" t="inlineStr">
        <is>
          <t>080203144</t>
        </is>
      </c>
      <c r="B25" s="21" t="inlineStr">
        <is>
          <t>Example</t>
        </is>
      </c>
      <c r="C25" s="21" t="inlineStr">
        <is>
          <t>Example</t>
        </is>
      </c>
      <c r="D25" s="21" t="inlineStr">
        <is>
          <t>Example</t>
        </is>
      </c>
      <c r="E25" s="21" t="inlineStr">
        <is>
          <t>Example</t>
        </is>
      </c>
      <c r="F25" s="20" t="inlineStr">
        <is>
          <t>Испания</t>
        </is>
      </c>
      <c r="G25" s="21" t="inlineStr">
        <is>
          <t>Example</t>
        </is>
      </c>
      <c r="H25" s="21" t="inlineStr">
        <is>
          <t>Example</t>
        </is>
      </c>
      <c r="I25" s="21" t="inlineStr">
        <is>
          <t>Example</t>
        </is>
      </c>
      <c r="J25" s="18" t="n">
        <v>1</v>
      </c>
      <c r="K25" s="22" t="inlineStr">
        <is>
          <t>Шт</t>
        </is>
      </c>
      <c r="L25" s="2" t="n">
        <v>0.05</v>
      </c>
      <c r="M25" s="3" t="n">
        <v>0.08</v>
      </c>
      <c r="N25" s="23" t="inlineStr">
        <is>
          <t>Полиэтиленовый пакет</t>
        </is>
      </c>
      <c r="O25" s="21" t="inlineStr">
        <is>
          <t>Example</t>
        </is>
      </c>
      <c r="P25" s="4" t="n">
        <v>632.52</v>
      </c>
      <c r="Q25" s="4">
        <f>P25*J25</f>
        <v/>
      </c>
      <c r="R25" s="21" t="n"/>
      <c r="S25" s="17" t="n"/>
      <c r="T25" s="17" t="n"/>
    </row>
    <row r="26" ht="51" customFormat="1" customHeight="1" s="5">
      <c r="A26" s="20" t="inlineStr">
        <is>
          <t>F40501</t>
        </is>
      </c>
      <c r="B26" s="21" t="inlineStr">
        <is>
          <t>Example</t>
        </is>
      </c>
      <c r="C26" s="21" t="inlineStr">
        <is>
          <t>Example</t>
        </is>
      </c>
      <c r="D26" s="21" t="inlineStr">
        <is>
          <t>Example</t>
        </is>
      </c>
      <c r="E26" s="21" t="inlineStr">
        <is>
          <t>Example</t>
        </is>
      </c>
      <c r="F26" s="20" t="inlineStr">
        <is>
          <t>Испания</t>
        </is>
      </c>
      <c r="G26" s="21" t="inlineStr">
        <is>
          <t>Example</t>
        </is>
      </c>
      <c r="H26" s="21" t="inlineStr">
        <is>
          <t>Example</t>
        </is>
      </c>
      <c r="I26" s="21" t="inlineStr">
        <is>
          <t>Example</t>
        </is>
      </c>
      <c r="J26" s="18" t="n">
        <v>4</v>
      </c>
      <c r="K26" s="22" t="inlineStr">
        <is>
          <t>Шт</t>
        </is>
      </c>
      <c r="L26" s="2" t="n">
        <v>40</v>
      </c>
      <c r="M26" s="3" t="n">
        <v>45</v>
      </c>
      <c r="N26" s="23" t="inlineStr">
        <is>
          <t>Пластиковая бутылка</t>
        </is>
      </c>
      <c r="O26" s="21" t="inlineStr">
        <is>
          <t>Example</t>
        </is>
      </c>
      <c r="P26" s="4" t="n">
        <v>301.87</v>
      </c>
      <c r="Q26" s="4">
        <f>P26*J26</f>
        <v/>
      </c>
      <c r="R26" s="21" t="n"/>
      <c r="S26" s="17" t="n"/>
      <c r="T26" s="17" t="n"/>
      <c r="U26" s="21" t="inlineStr">
        <is>
          <t>Протокол испытаний №И20201228-012</t>
        </is>
      </c>
      <c r="V26" s="17" t="n">
        <v>44193</v>
      </c>
      <c r="W26" s="18" t="inlineStr">
        <is>
          <t>—</t>
        </is>
      </c>
    </row>
    <row r="27" ht="51" customFormat="1" customHeight="1" s="5">
      <c r="A27" s="20" t="inlineStr">
        <is>
          <t>070100054</t>
        </is>
      </c>
      <c r="B27" s="21" t="inlineStr">
        <is>
          <t>Example</t>
        </is>
      </c>
      <c r="C27" s="21" t="inlineStr">
        <is>
          <t>Example</t>
        </is>
      </c>
      <c r="D27" s="21" t="inlineStr">
        <is>
          <t>Example</t>
        </is>
      </c>
      <c r="E27" s="21" t="inlineStr">
        <is>
          <t>Example</t>
        </is>
      </c>
      <c r="F27" s="20" t="inlineStr">
        <is>
          <t>Испания</t>
        </is>
      </c>
      <c r="G27" s="21" t="inlineStr">
        <is>
          <t>Example</t>
        </is>
      </c>
      <c r="H27" s="21" t="inlineStr">
        <is>
          <t>Example</t>
        </is>
      </c>
      <c r="I27" s="21" t="inlineStr">
        <is>
          <t>Example</t>
        </is>
      </c>
      <c r="J27" s="18" t="n">
        <v>1</v>
      </c>
      <c r="K27" s="22" t="inlineStr">
        <is>
          <t>Шт</t>
        </is>
      </c>
      <c r="L27" s="2" t="n">
        <v>0.3</v>
      </c>
      <c r="M27" s="3" t="n">
        <v>0.5</v>
      </c>
      <c r="N27" s="23" t="inlineStr">
        <is>
          <t>Картонная коробка</t>
        </is>
      </c>
      <c r="O27" s="21" t="inlineStr">
        <is>
          <t>Example</t>
        </is>
      </c>
      <c r="P27" s="4" t="n">
        <v>1724.93</v>
      </c>
      <c r="Q27" s="4">
        <f>P27*J27</f>
        <v/>
      </c>
      <c r="R27" s="21" t="n"/>
      <c r="S27" s="17" t="n"/>
      <c r="T27" s="17" t="n"/>
    </row>
    <row r="28" ht="40.8" customFormat="1" customHeight="1" s="5">
      <c r="A28" s="20" t="inlineStr">
        <is>
          <t>050502058</t>
        </is>
      </c>
      <c r="B28" s="21" t="inlineStr">
        <is>
          <t>Example</t>
        </is>
      </c>
      <c r="C28" s="21" t="inlineStr">
        <is>
          <t>Example</t>
        </is>
      </c>
      <c r="D28" s="21" t="inlineStr">
        <is>
          <t>Example</t>
        </is>
      </c>
      <c r="E28" s="21" t="inlineStr">
        <is>
          <t>Example</t>
        </is>
      </c>
      <c r="F28" s="20" t="inlineStr">
        <is>
          <t>Испания</t>
        </is>
      </c>
      <c r="G28" s="21" t="inlineStr">
        <is>
          <t>Example</t>
        </is>
      </c>
      <c r="H28" s="21" t="inlineStr">
        <is>
          <t>Example</t>
        </is>
      </c>
      <c r="I28" s="21" t="inlineStr">
        <is>
          <t>Example</t>
        </is>
      </c>
      <c r="J28" s="18" t="n">
        <v>7</v>
      </c>
      <c r="K28" s="22" t="inlineStr">
        <is>
          <t>Шт</t>
        </is>
      </c>
      <c r="L28" s="2" t="n">
        <v>1</v>
      </c>
      <c r="M28" s="3" t="n">
        <v>1.3</v>
      </c>
      <c r="N28" s="23" t="inlineStr">
        <is>
          <t>Полиэтиленовый пакет</t>
        </is>
      </c>
      <c r="O28" s="21" t="inlineStr">
        <is>
          <t>Example</t>
        </is>
      </c>
      <c r="P28" s="4" t="n">
        <v>217.37</v>
      </c>
      <c r="Q28" s="4">
        <f>P28*J28</f>
        <v/>
      </c>
      <c r="R28" s="21" t="n"/>
      <c r="S28" s="17" t="n"/>
      <c r="T28" s="17" t="n"/>
    </row>
    <row r="29" ht="91.8" customFormat="1" customHeight="1" s="5">
      <c r="A29" s="20" t="inlineStr">
        <is>
          <t>050200944</t>
        </is>
      </c>
      <c r="B29" s="21" t="inlineStr">
        <is>
          <t>Example</t>
        </is>
      </c>
      <c r="C29" s="21" t="inlineStr">
        <is>
          <t>Example</t>
        </is>
      </c>
      <c r="D29" s="21" t="inlineStr">
        <is>
          <t>Example</t>
        </is>
      </c>
      <c r="E29" s="21" t="inlineStr">
        <is>
          <t>Example</t>
        </is>
      </c>
      <c r="F29" s="20" t="inlineStr">
        <is>
          <t>Испания</t>
        </is>
      </c>
      <c r="G29" s="21" t="inlineStr">
        <is>
          <t>Example</t>
        </is>
      </c>
      <c r="H29" s="21" t="inlineStr">
        <is>
          <t>Example</t>
        </is>
      </c>
      <c r="I29" s="21" t="inlineStr">
        <is>
          <t>Example</t>
        </is>
      </c>
      <c r="J29" s="18" t="n">
        <v>4</v>
      </c>
      <c r="K29" s="22" t="inlineStr">
        <is>
          <t>Шт</t>
        </is>
      </c>
      <c r="L29" s="2" t="n">
        <v>0.2</v>
      </c>
      <c r="M29" s="3" t="n">
        <v>0.3</v>
      </c>
      <c r="N29" s="23" t="inlineStr">
        <is>
          <t>Полиэтиленовый пакет</t>
        </is>
      </c>
      <c r="O29" s="21" t="inlineStr">
        <is>
          <t>Example</t>
        </is>
      </c>
      <c r="P29" s="4" t="n">
        <v>1650.25</v>
      </c>
      <c r="Q29" s="4">
        <f>P29*J29</f>
        <v/>
      </c>
      <c r="R29" s="21" t="n"/>
      <c r="S29" s="17" t="n"/>
      <c r="T29" s="17" t="n"/>
    </row>
    <row r="30" ht="51" customFormat="1" customHeight="1" s="5">
      <c r="A30" s="20" t="inlineStr">
        <is>
          <t>080203119</t>
        </is>
      </c>
      <c r="B30" s="21" t="inlineStr">
        <is>
          <t>Example</t>
        </is>
      </c>
      <c r="C30" s="21" t="inlineStr">
        <is>
          <t>Example</t>
        </is>
      </c>
      <c r="D30" s="21" t="inlineStr">
        <is>
          <t>Example</t>
        </is>
      </c>
      <c r="E30" s="21" t="inlineStr">
        <is>
          <t>Example</t>
        </is>
      </c>
      <c r="F30" s="20" t="inlineStr">
        <is>
          <t>Испания</t>
        </is>
      </c>
      <c r="G30" s="21" t="inlineStr">
        <is>
          <t>Example</t>
        </is>
      </c>
      <c r="H30" s="21" t="inlineStr">
        <is>
          <t>Example</t>
        </is>
      </c>
      <c r="I30" s="21" t="inlineStr">
        <is>
          <t>Example</t>
        </is>
      </c>
      <c r="J30" s="18" t="n">
        <v>1</v>
      </c>
      <c r="K30" s="22" t="inlineStr">
        <is>
          <t>Шт</t>
        </is>
      </c>
      <c r="L30" s="2" t="n">
        <v>0.05</v>
      </c>
      <c r="M30" s="3" t="n">
        <v>0.08</v>
      </c>
      <c r="N30" s="23" t="inlineStr">
        <is>
          <t>Полиэтиленовый пакет</t>
        </is>
      </c>
      <c r="O30" s="21" t="inlineStr">
        <is>
          <t>Example</t>
        </is>
      </c>
      <c r="P30" s="4" t="n">
        <v>863.63</v>
      </c>
      <c r="Q30" s="4">
        <f>P30*J30</f>
        <v/>
      </c>
      <c r="R30" s="21" t="n"/>
      <c r="S30" s="17" t="n"/>
      <c r="T30" s="17" t="n"/>
    </row>
    <row r="31" ht="51" customFormat="1" customHeight="1" s="5">
      <c r="A31" s="20" t="inlineStr">
        <is>
          <t>080203118</t>
        </is>
      </c>
      <c r="B31" s="21" t="inlineStr">
        <is>
          <t>Example</t>
        </is>
      </c>
      <c r="C31" s="21" t="inlineStr">
        <is>
          <t>Example</t>
        </is>
      </c>
      <c r="D31" s="21" t="inlineStr">
        <is>
          <t>Example</t>
        </is>
      </c>
      <c r="E31" s="21" t="inlineStr">
        <is>
          <t>Example</t>
        </is>
      </c>
      <c r="F31" s="20" t="inlineStr">
        <is>
          <t>Испания</t>
        </is>
      </c>
      <c r="G31" s="21" t="inlineStr">
        <is>
          <t>Example</t>
        </is>
      </c>
      <c r="H31" s="21" t="inlineStr">
        <is>
          <t>Example</t>
        </is>
      </c>
      <c r="I31" s="21" t="inlineStr">
        <is>
          <t>Example</t>
        </is>
      </c>
      <c r="J31" s="18" t="n">
        <v>2</v>
      </c>
      <c r="K31" s="22" t="inlineStr">
        <is>
          <t>Шт</t>
        </is>
      </c>
      <c r="L31" s="2" t="n">
        <v>0.1</v>
      </c>
      <c r="M31" s="3" t="n">
        <v>0.15</v>
      </c>
      <c r="N31" s="23" t="inlineStr">
        <is>
          <t>Полиэтиленовый пакет</t>
        </is>
      </c>
      <c r="O31" s="21" t="inlineStr">
        <is>
          <t>Example</t>
        </is>
      </c>
      <c r="P31" s="4" t="n">
        <v>813.36</v>
      </c>
      <c r="Q31" s="4">
        <f>P31*J31</f>
        <v/>
      </c>
      <c r="R31" s="21" t="n"/>
      <c r="S31" s="17" t="n"/>
      <c r="T31" s="17" t="n"/>
    </row>
    <row r="32" ht="51" customFormat="1" customHeight="1" s="5">
      <c r="A32" s="20" t="inlineStr">
        <is>
          <t>080203116</t>
        </is>
      </c>
      <c r="B32" s="21" t="inlineStr">
        <is>
          <t>Example</t>
        </is>
      </c>
      <c r="C32" s="21" t="inlineStr">
        <is>
          <t>Example</t>
        </is>
      </c>
      <c r="D32" s="21" t="inlineStr">
        <is>
          <t>Example</t>
        </is>
      </c>
      <c r="E32" s="21" t="inlineStr">
        <is>
          <t>Example</t>
        </is>
      </c>
      <c r="F32" s="20" t="inlineStr">
        <is>
          <t>Испания</t>
        </is>
      </c>
      <c r="G32" s="21" t="inlineStr">
        <is>
          <t>Example</t>
        </is>
      </c>
      <c r="H32" s="21" t="inlineStr">
        <is>
          <t>Example</t>
        </is>
      </c>
      <c r="I32" s="21" t="inlineStr">
        <is>
          <t>Example</t>
        </is>
      </c>
      <c r="J32" s="18" t="n">
        <v>1</v>
      </c>
      <c r="K32" s="22" t="inlineStr">
        <is>
          <t>Шт</t>
        </is>
      </c>
      <c r="L32" s="2" t="n">
        <v>0.05</v>
      </c>
      <c r="M32" s="3" t="n">
        <v>0.08</v>
      </c>
      <c r="N32" s="23" t="inlineStr">
        <is>
          <t>Полиэтиленовый пакет</t>
        </is>
      </c>
      <c r="O32" s="21" t="inlineStr">
        <is>
          <t>Example</t>
        </is>
      </c>
      <c r="P32" s="4" t="n">
        <v>1014.79</v>
      </c>
      <c r="Q32" s="4">
        <f>P32*J32</f>
        <v/>
      </c>
      <c r="R32" s="21" t="n"/>
      <c r="S32" s="17" t="n"/>
      <c r="T32" s="17" t="n"/>
    </row>
    <row r="33" ht="30.6" customFormat="1" customHeight="1" s="5">
      <c r="A33" s="20" t="inlineStr">
        <is>
          <t>070001165A</t>
        </is>
      </c>
      <c r="B33" s="21" t="inlineStr">
        <is>
          <t>Example</t>
        </is>
      </c>
      <c r="C33" s="21" t="inlineStr">
        <is>
          <t>Example</t>
        </is>
      </c>
      <c r="D33" s="21" t="inlineStr">
        <is>
          <t>Example</t>
        </is>
      </c>
      <c r="E33" s="21" t="inlineStr">
        <is>
          <t>Example</t>
        </is>
      </c>
      <c r="F33" s="20" t="inlineStr">
        <is>
          <t>Испания</t>
        </is>
      </c>
      <c r="G33" s="21" t="inlineStr">
        <is>
          <t>Example</t>
        </is>
      </c>
      <c r="H33" s="21" t="inlineStr">
        <is>
          <t>Example</t>
        </is>
      </c>
      <c r="I33" s="21" t="inlineStr">
        <is>
          <t>Example</t>
        </is>
      </c>
      <c r="J33" s="18" t="n">
        <v>2</v>
      </c>
      <c r="K33" s="22" t="inlineStr">
        <is>
          <t>Шт</t>
        </is>
      </c>
      <c r="L33" s="2" t="n">
        <v>0.08</v>
      </c>
      <c r="M33" s="3" t="n">
        <v>0.1</v>
      </c>
      <c r="N33" s="23" t="inlineStr">
        <is>
          <t>Полиэтиленовый пакет</t>
        </is>
      </c>
      <c r="O33" s="21" t="inlineStr">
        <is>
          <t>Example</t>
        </is>
      </c>
      <c r="P33" s="4" t="n"/>
      <c r="Q33" s="4">
        <f>P33*J33</f>
        <v/>
      </c>
      <c r="R33" s="21" t="n"/>
      <c r="S33" s="17" t="n"/>
      <c r="T33" s="17" t="n"/>
    </row>
    <row r="34" ht="71.40000000000001" customFormat="1" customHeight="1" s="5">
      <c r="A34" s="20" t="inlineStr">
        <is>
          <t>050502037</t>
        </is>
      </c>
      <c r="B34" s="21" t="inlineStr">
        <is>
          <t>Example</t>
        </is>
      </c>
      <c r="C34" s="21" t="inlineStr">
        <is>
          <t>Example</t>
        </is>
      </c>
      <c r="D34" s="21" t="inlineStr">
        <is>
          <t>Example</t>
        </is>
      </c>
      <c r="E34" s="21" t="inlineStr">
        <is>
          <t>Example</t>
        </is>
      </c>
      <c r="F34" s="20" t="inlineStr">
        <is>
          <t>Испания</t>
        </is>
      </c>
      <c r="G34" s="21" t="inlineStr">
        <is>
          <t>Example</t>
        </is>
      </c>
      <c r="H34" s="21" t="inlineStr">
        <is>
          <t>Example</t>
        </is>
      </c>
      <c r="I34" s="21" t="inlineStr">
        <is>
          <t>Example</t>
        </is>
      </c>
      <c r="J34" s="18" t="n">
        <v>2</v>
      </c>
      <c r="K34" s="22" t="inlineStr">
        <is>
          <t>Шт</t>
        </is>
      </c>
      <c r="L34" s="2" t="n">
        <v>0.4</v>
      </c>
      <c r="M34" s="3" t="n">
        <v>0.6</v>
      </c>
      <c r="N34" s="23" t="inlineStr">
        <is>
          <t>Полиэтиленовый пакет</t>
        </is>
      </c>
      <c r="O34" s="21" t="inlineStr">
        <is>
          <t>Example</t>
        </is>
      </c>
      <c r="P34" s="4" t="n">
        <v>1401.85</v>
      </c>
      <c r="Q34" s="4">
        <f>P34*J34</f>
        <v/>
      </c>
      <c r="R34" s="21" t="n"/>
      <c r="S34" s="17" t="n"/>
      <c r="T34" s="17" t="n"/>
    </row>
    <row r="35" ht="61.2" customFormat="1" customHeight="1" s="5">
      <c r="A35" s="20" t="inlineStr">
        <is>
          <t>070001195</t>
        </is>
      </c>
      <c r="B35" s="21" t="inlineStr">
        <is>
          <t>Example</t>
        </is>
      </c>
      <c r="C35" s="21" t="inlineStr">
        <is>
          <t>Example</t>
        </is>
      </c>
      <c r="D35" s="21" t="inlineStr">
        <is>
          <t>Example</t>
        </is>
      </c>
      <c r="E35" s="21" t="inlineStr">
        <is>
          <t>Example</t>
        </is>
      </c>
      <c r="F35" s="20" t="inlineStr">
        <is>
          <t>Испания</t>
        </is>
      </c>
      <c r="G35" s="21" t="inlineStr">
        <is>
          <t>Example</t>
        </is>
      </c>
      <c r="H35" s="21" t="inlineStr">
        <is>
          <t>Example</t>
        </is>
      </c>
      <c r="I35" s="21" t="inlineStr">
        <is>
          <t>Example</t>
        </is>
      </c>
      <c r="J35" s="18" t="n">
        <v>1</v>
      </c>
      <c r="K35" s="22" t="inlineStr">
        <is>
          <t>Шт</t>
        </is>
      </c>
      <c r="L35" s="2" t="n">
        <v>0.05</v>
      </c>
      <c r="M35" s="3" t="n">
        <v>0.08</v>
      </c>
      <c r="N35" s="23" t="inlineStr">
        <is>
          <t>Полиэтиленовый пакет</t>
        </is>
      </c>
      <c r="O35" s="21" t="inlineStr">
        <is>
          <t>Example</t>
        </is>
      </c>
      <c r="P35" s="4" t="n">
        <v>878.14</v>
      </c>
      <c r="Q35" s="4">
        <f>P35*J35</f>
        <v/>
      </c>
      <c r="R35" s="21" t="n"/>
      <c r="S35" s="17" t="n"/>
      <c r="T35" s="17" t="n"/>
    </row>
    <row r="36" ht="81.59999999999999" customFormat="1" customHeight="1" s="5">
      <c r="A36" s="20" t="inlineStr">
        <is>
          <t>N80601</t>
        </is>
      </c>
      <c r="B36" s="21" t="inlineStr">
        <is>
          <t>Example</t>
        </is>
      </c>
      <c r="C36" s="21" t="inlineStr">
        <is>
          <t>Example</t>
        </is>
      </c>
      <c r="D36" s="21" t="inlineStr">
        <is>
          <t>Example</t>
        </is>
      </c>
      <c r="E36" s="21" t="inlineStr">
        <is>
          <t>Example</t>
        </is>
      </c>
      <c r="F36" s="20" t="inlineStr">
        <is>
          <t>Испания</t>
        </is>
      </c>
      <c r="G36" s="21" t="inlineStr">
        <is>
          <t>Example</t>
        </is>
      </c>
      <c r="H36" s="21" t="inlineStr">
        <is>
          <t>Example</t>
        </is>
      </c>
      <c r="I36" s="21" t="inlineStr">
        <is>
          <t>Example</t>
        </is>
      </c>
      <c r="J36" s="18" t="n">
        <v>1</v>
      </c>
      <c r="K36" s="22" t="inlineStr">
        <is>
          <t>Шт</t>
        </is>
      </c>
      <c r="L36" s="2" t="n">
        <v>1</v>
      </c>
      <c r="M36" s="3" t="n">
        <v>1.5</v>
      </c>
      <c r="N36" s="23" t="inlineStr">
        <is>
          <t>Картонная коробка</t>
        </is>
      </c>
      <c r="O36" s="21" t="inlineStr">
        <is>
          <t>Example</t>
        </is>
      </c>
      <c r="P36" s="4" t="n">
        <v>1643.29</v>
      </c>
      <c r="Q36" s="4">
        <f>P36*J36</f>
        <v/>
      </c>
      <c r="R36" s="21" t="n"/>
      <c r="S36" s="17" t="n"/>
      <c r="T36" s="17" t="n"/>
    </row>
    <row r="37" ht="51" customFormat="1" customHeight="1" s="5">
      <c r="A37" s="20" t="inlineStr">
        <is>
          <t>070001092</t>
        </is>
      </c>
      <c r="B37" s="21" t="inlineStr">
        <is>
          <t>Example</t>
        </is>
      </c>
      <c r="C37" s="21" t="inlineStr">
        <is>
          <t>Example</t>
        </is>
      </c>
      <c r="D37" s="21" t="inlineStr">
        <is>
          <t>Example</t>
        </is>
      </c>
      <c r="E37" s="21" t="inlineStr">
        <is>
          <t>Example</t>
        </is>
      </c>
      <c r="F37" s="20" t="inlineStr">
        <is>
          <t>Испания</t>
        </is>
      </c>
      <c r="G37" s="21" t="inlineStr">
        <is>
          <t>Example</t>
        </is>
      </c>
      <c r="H37" s="21" t="inlineStr">
        <is>
          <t>Example</t>
        </is>
      </c>
      <c r="I37" s="21" t="inlineStr">
        <is>
          <t>Example</t>
        </is>
      </c>
      <c r="J37" s="18" t="n">
        <v>1</v>
      </c>
      <c r="K37" s="22" t="inlineStr">
        <is>
          <t>Шт</t>
        </is>
      </c>
      <c r="L37" s="2" t="n">
        <v>0.3</v>
      </c>
      <c r="M37" s="3" t="n">
        <v>0.5</v>
      </c>
      <c r="N37" s="23" t="inlineStr">
        <is>
          <t>Картонная коробка</t>
        </is>
      </c>
      <c r="O37" s="21" t="inlineStr">
        <is>
          <t>Example</t>
        </is>
      </c>
      <c r="P37" s="4" t="n">
        <v>1021.69</v>
      </c>
      <c r="Q37" s="4">
        <f>P37*J37</f>
        <v/>
      </c>
      <c r="R37" s="21" t="inlineStr">
        <is>
          <t>Example</t>
        </is>
      </c>
      <c r="S37" s="17" t="n">
        <v>44259</v>
      </c>
      <c r="T37" s="17" t="n">
        <v>45353</v>
      </c>
    </row>
    <row r="38" ht="61.2" customFormat="1" customHeight="1" s="5">
      <c r="A38" s="20" t="inlineStr">
        <is>
          <t>020202351A</t>
        </is>
      </c>
      <c r="B38" s="21" t="inlineStr">
        <is>
          <t>Example</t>
        </is>
      </c>
      <c r="C38" s="21" t="inlineStr">
        <is>
          <t>Example</t>
        </is>
      </c>
      <c r="D38" s="21" t="inlineStr">
        <is>
          <t>Example</t>
        </is>
      </c>
      <c r="E38" s="21" t="inlineStr">
        <is>
          <t>Example</t>
        </is>
      </c>
      <c r="F38" s="20" t="inlineStr">
        <is>
          <t>Испания</t>
        </is>
      </c>
      <c r="G38" s="21" t="inlineStr">
        <is>
          <t>Example</t>
        </is>
      </c>
      <c r="H38" s="21" t="inlineStr">
        <is>
          <t>Example</t>
        </is>
      </c>
      <c r="I38" s="21" t="inlineStr">
        <is>
          <t>Example</t>
        </is>
      </c>
      <c r="J38" s="18" t="n">
        <v>1</v>
      </c>
      <c r="K38" s="22" t="inlineStr">
        <is>
          <t>Шт</t>
        </is>
      </c>
      <c r="L38" s="2" t="n">
        <v>0.05</v>
      </c>
      <c r="M38" s="3" t="n">
        <v>0.08</v>
      </c>
      <c r="N38" s="23" t="inlineStr">
        <is>
          <t>Полиэтиленовый пакет</t>
        </is>
      </c>
      <c r="O38" s="21" t="inlineStr">
        <is>
          <t>Example</t>
        </is>
      </c>
      <c r="P38" s="4" t="n"/>
      <c r="Q38" s="4">
        <f>P38*J38</f>
        <v/>
      </c>
      <c r="R38" s="21" t="n"/>
      <c r="S38" s="17" t="n"/>
      <c r="T38" s="17" t="n"/>
    </row>
    <row r="39" ht="40.8" customFormat="1" customHeight="1" s="5">
      <c r="A39" s="20" t="inlineStr">
        <is>
          <t>052700001</t>
        </is>
      </c>
      <c r="B39" s="21" t="inlineStr">
        <is>
          <t>Example</t>
        </is>
      </c>
      <c r="C39" s="21" t="inlineStr">
        <is>
          <t>Example</t>
        </is>
      </c>
      <c r="D39" s="21" t="inlineStr">
        <is>
          <t>Example</t>
        </is>
      </c>
      <c r="E39" s="21" t="inlineStr">
        <is>
          <t>Example</t>
        </is>
      </c>
      <c r="F39" s="20" t="inlineStr">
        <is>
          <t>Испания</t>
        </is>
      </c>
      <c r="G39" s="21" t="inlineStr">
        <is>
          <t>Example</t>
        </is>
      </c>
      <c r="H39" s="21" t="inlineStr">
        <is>
          <t>Example</t>
        </is>
      </c>
      <c r="I39" s="21" t="inlineStr">
        <is>
          <t>Example</t>
        </is>
      </c>
      <c r="J39" s="18" t="n">
        <v>2</v>
      </c>
      <c r="K39" s="22" t="inlineStr">
        <is>
          <t>Шт</t>
        </is>
      </c>
      <c r="L39" s="2" t="n">
        <v>0.08</v>
      </c>
      <c r="M39" s="3" t="n">
        <v>0.1</v>
      </c>
      <c r="N39" s="23" t="inlineStr">
        <is>
          <t>Полиэтиленовый пакет</t>
        </is>
      </c>
      <c r="O39" s="21" t="inlineStr">
        <is>
          <t>Example</t>
        </is>
      </c>
      <c r="P39" s="4" t="n">
        <v>1312.28</v>
      </c>
      <c r="Q39" s="4">
        <f>P39*J39</f>
        <v/>
      </c>
      <c r="R39" s="21" t="n"/>
      <c r="S39" s="17" t="n"/>
      <c r="T39" s="17" t="n"/>
    </row>
    <row r="40" ht="91.8" customFormat="1" customHeight="1" s="5">
      <c r="A40" s="20" t="inlineStr">
        <is>
          <t>N722A1</t>
        </is>
      </c>
      <c r="B40" s="21" t="inlineStr">
        <is>
          <t>Example</t>
        </is>
      </c>
      <c r="C40" s="21" t="inlineStr">
        <is>
          <t>Example</t>
        </is>
      </c>
      <c r="D40" s="21" t="inlineStr">
        <is>
          <t>Example</t>
        </is>
      </c>
      <c r="E40" s="21" t="inlineStr">
        <is>
          <t>Example</t>
        </is>
      </c>
      <c r="F40" s="20" t="inlineStr">
        <is>
          <t>Испания</t>
        </is>
      </c>
      <c r="G40" s="21" t="inlineStr">
        <is>
          <t>Example</t>
        </is>
      </c>
      <c r="H40" s="21" t="inlineStr">
        <is>
          <t>Example</t>
        </is>
      </c>
      <c r="I40" s="21" t="inlineStr">
        <is>
          <t>Example</t>
        </is>
      </c>
      <c r="J40" s="18" t="n">
        <v>1</v>
      </c>
      <c r="K40" s="22" t="inlineStr">
        <is>
          <t>Шт</t>
        </is>
      </c>
      <c r="L40" s="2" t="n">
        <v>1</v>
      </c>
      <c r="M40" s="3" t="n">
        <v>1.2</v>
      </c>
      <c r="N40" s="23" t="inlineStr">
        <is>
          <t>Полиэтиленовый пакет</t>
        </is>
      </c>
      <c r="O40" s="21" t="inlineStr">
        <is>
          <t>Example</t>
        </is>
      </c>
      <c r="P40" s="4" t="n">
        <v>1214.2</v>
      </c>
      <c r="Q40" s="4">
        <f>P40*J40</f>
        <v/>
      </c>
      <c r="R40" s="21" t="n"/>
      <c r="S40" s="17" t="n"/>
      <c r="T40" s="17" t="n"/>
    </row>
    <row r="41" ht="51" customFormat="1" customHeight="1" s="5">
      <c r="A41" s="20" t="inlineStr">
        <is>
          <t>04388018A</t>
        </is>
      </c>
      <c r="B41" s="21" t="inlineStr">
        <is>
          <t>Example</t>
        </is>
      </c>
      <c r="C41" s="21" t="inlineStr">
        <is>
          <t>Example</t>
        </is>
      </c>
      <c r="D41" s="21" t="inlineStr">
        <is>
          <t>Example</t>
        </is>
      </c>
      <c r="E41" s="21" t="inlineStr">
        <is>
          <t>Example</t>
        </is>
      </c>
      <c r="F41" s="20" t="inlineStr">
        <is>
          <t>Испания</t>
        </is>
      </c>
      <c r="G41" s="21" t="inlineStr">
        <is>
          <t>Example</t>
        </is>
      </c>
      <c r="H41" s="21" t="inlineStr">
        <is>
          <t>Example</t>
        </is>
      </c>
      <c r="I41" s="21" t="inlineStr">
        <is>
          <t>Example</t>
        </is>
      </c>
      <c r="J41" s="18" t="n">
        <v>1</v>
      </c>
      <c r="K41" s="22" t="inlineStr">
        <is>
          <t>Шт</t>
        </is>
      </c>
      <c r="L41" s="2" t="n">
        <v>0.1</v>
      </c>
      <c r="M41" s="3" t="n">
        <v>0.14</v>
      </c>
      <c r="N41" s="23" t="inlineStr">
        <is>
          <t>Полиэтиленовый пакет</t>
        </is>
      </c>
      <c r="O41" s="21" t="inlineStr">
        <is>
          <t>Example</t>
        </is>
      </c>
      <c r="P41" s="4" t="n">
        <v>1280.56</v>
      </c>
      <c r="Q41" s="4">
        <f>P41*J41</f>
        <v/>
      </c>
      <c r="R41" s="21" t="n"/>
      <c r="S41" s="17" t="n"/>
      <c r="T41" s="17" t="n"/>
    </row>
    <row r="42" ht="81.59999999999999" customFormat="1" customHeight="1" s="5">
      <c r="A42" s="20" t="inlineStr">
        <is>
          <t>F06901</t>
        </is>
      </c>
      <c r="B42" s="21" t="inlineStr">
        <is>
          <t>Example</t>
        </is>
      </c>
      <c r="C42" s="21" t="inlineStr">
        <is>
          <t>Example</t>
        </is>
      </c>
      <c r="D42" s="21" t="inlineStr">
        <is>
          <t>Example</t>
        </is>
      </c>
      <c r="E42" s="21" t="inlineStr">
        <is>
          <t>Example</t>
        </is>
      </c>
      <c r="F42" s="20" t="inlineStr">
        <is>
          <t>Испания</t>
        </is>
      </c>
      <c r="G42" s="21" t="inlineStr">
        <is>
          <t>Example</t>
        </is>
      </c>
      <c r="H42" s="21" t="inlineStr">
        <is>
          <t>Example</t>
        </is>
      </c>
      <c r="I42" s="21" t="inlineStr">
        <is>
          <t>Example</t>
        </is>
      </c>
      <c r="J42" s="18" t="n">
        <v>1</v>
      </c>
      <c r="K42" s="22" t="inlineStr">
        <is>
          <t>Шт</t>
        </is>
      </c>
      <c r="L42" s="2" t="n">
        <v>1</v>
      </c>
      <c r="M42" s="3" t="n">
        <v>1.2</v>
      </c>
      <c r="N42" s="23" t="inlineStr">
        <is>
          <t>Пластиковая бутылка</t>
        </is>
      </c>
      <c r="O42" s="21" t="inlineStr">
        <is>
          <t>Example</t>
        </is>
      </c>
      <c r="P42" s="4" t="n">
        <v>449.3</v>
      </c>
      <c r="Q42" s="4">
        <f>P42*J42</f>
        <v/>
      </c>
      <c r="R42" s="21" t="n"/>
      <c r="S42" s="17" t="n"/>
      <c r="T42" s="17" t="n"/>
      <c r="U42" s="21" t="inlineStr">
        <is>
          <t>Протокол испытаний №И20201228-012</t>
        </is>
      </c>
      <c r="V42" s="17" t="n">
        <v>44193</v>
      </c>
      <c r="W42" s="18" t="inlineStr">
        <is>
          <t>—</t>
        </is>
      </c>
    </row>
    <row r="43" ht="30.6" customFormat="1" customHeight="1" s="5">
      <c r="A43" s="20" t="inlineStr">
        <is>
          <t>050502001</t>
        </is>
      </c>
      <c r="B43" s="21" t="inlineStr">
        <is>
          <t>Example</t>
        </is>
      </c>
      <c r="C43" s="21" t="inlineStr">
        <is>
          <t>Example</t>
        </is>
      </c>
      <c r="D43" s="21" t="inlineStr">
        <is>
          <t>Example</t>
        </is>
      </c>
      <c r="E43" s="21" t="inlineStr">
        <is>
          <t>Example</t>
        </is>
      </c>
      <c r="F43" s="20" t="inlineStr">
        <is>
          <t>Испания</t>
        </is>
      </c>
      <c r="G43" s="21" t="inlineStr">
        <is>
          <t>Example</t>
        </is>
      </c>
      <c r="H43" s="21" t="inlineStr">
        <is>
          <t>Example</t>
        </is>
      </c>
      <c r="I43" s="21" t="inlineStr">
        <is>
          <t>Example</t>
        </is>
      </c>
      <c r="J43" s="18" t="n">
        <v>1</v>
      </c>
      <c r="K43" s="22" t="inlineStr">
        <is>
          <t>Шт</t>
        </is>
      </c>
      <c r="L43" s="2" t="n">
        <v>0.25</v>
      </c>
      <c r="M43" s="3" t="n">
        <v>0.4</v>
      </c>
      <c r="N43" s="23" t="inlineStr">
        <is>
          <t>Полиэтиленовый пакет</t>
        </is>
      </c>
      <c r="O43" s="21" t="inlineStr">
        <is>
          <t>Example</t>
        </is>
      </c>
      <c r="P43" s="4" t="n">
        <v>1633.17</v>
      </c>
      <c r="Q43" s="4">
        <f>P43*J43</f>
        <v/>
      </c>
      <c r="R43" s="21" t="n"/>
      <c r="S43" s="17" t="n"/>
      <c r="T43" s="17" t="n"/>
    </row>
    <row r="44" ht="51" customFormat="1" customHeight="1" s="5">
      <c r="A44" s="20" t="inlineStr">
        <is>
          <t>04327100A</t>
        </is>
      </c>
      <c r="B44" s="21" t="inlineStr">
        <is>
          <t>Example</t>
        </is>
      </c>
      <c r="C44" s="21" t="inlineStr">
        <is>
          <t>Example</t>
        </is>
      </c>
      <c r="D44" s="21" t="inlineStr">
        <is>
          <t>Example</t>
        </is>
      </c>
      <c r="E44" s="21" t="inlineStr">
        <is>
          <t>Example</t>
        </is>
      </c>
      <c r="F44" s="20" t="inlineStr">
        <is>
          <t>Испания</t>
        </is>
      </c>
      <c r="G44" s="21" t="inlineStr">
        <is>
          <t>Example</t>
        </is>
      </c>
      <c r="H44" s="21" t="inlineStr">
        <is>
          <t>Example</t>
        </is>
      </c>
      <c r="I44" s="21" t="inlineStr">
        <is>
          <t>Example</t>
        </is>
      </c>
      <c r="J44" s="18" t="n">
        <v>1</v>
      </c>
      <c r="K44" s="22" t="inlineStr">
        <is>
          <t>Шт</t>
        </is>
      </c>
      <c r="L44" s="2" t="n">
        <v>0.1</v>
      </c>
      <c r="M44" s="3" t="n">
        <v>0.15</v>
      </c>
      <c r="N44" s="23" t="inlineStr">
        <is>
          <t>Полиэтиленовый пакет</t>
        </is>
      </c>
      <c r="O44" s="21" t="inlineStr">
        <is>
          <t>Example</t>
        </is>
      </c>
      <c r="P44" s="4" t="n">
        <v>737.36</v>
      </c>
      <c r="Q44" s="4">
        <f>P44*J44</f>
        <v/>
      </c>
      <c r="R44" s="21" t="n"/>
      <c r="S44" s="17" t="n"/>
      <c r="T44" s="17" t="n"/>
    </row>
    <row r="45" ht="163.2" customFormat="1" customHeight="1" s="5">
      <c r="A45" s="20" t="inlineStr">
        <is>
          <t>F241A2</t>
        </is>
      </c>
      <c r="B45" s="21" t="inlineStr">
        <is>
          <t>Example</t>
        </is>
      </c>
      <c r="C45" s="21" t="inlineStr">
        <is>
          <t>Example</t>
        </is>
      </c>
      <c r="D45" s="21" t="inlineStr">
        <is>
          <t>Example</t>
        </is>
      </c>
      <c r="E45" s="21" t="inlineStr">
        <is>
          <t>Example</t>
        </is>
      </c>
      <c r="F45" s="20" t="inlineStr">
        <is>
          <t>Испания</t>
        </is>
      </c>
      <c r="G45" s="21" t="inlineStr">
        <is>
          <t>Example</t>
        </is>
      </c>
      <c r="H45" s="21" t="inlineStr">
        <is>
          <t>Example</t>
        </is>
      </c>
      <c r="I45" s="21" t="inlineStr">
        <is>
          <t>Example</t>
        </is>
      </c>
      <c r="J45" s="18" t="n">
        <v>2</v>
      </c>
      <c r="K45" s="22" t="inlineStr">
        <is>
          <t>Шт</t>
        </is>
      </c>
      <c r="L45" s="2" t="n">
        <v>5</v>
      </c>
      <c r="M45" s="3" t="n">
        <v>9</v>
      </c>
      <c r="N45" s="23" t="inlineStr">
        <is>
          <t>Картонная коробка</t>
        </is>
      </c>
      <c r="O45" s="21" t="inlineStr">
        <is>
          <t>Example</t>
        </is>
      </c>
      <c r="P45" s="4" t="n">
        <v>534.21</v>
      </c>
      <c r="Q45" s="4">
        <f>P45*J45</f>
        <v/>
      </c>
      <c r="R45" s="21" t="n"/>
      <c r="S45" s="17" t="n"/>
      <c r="T45" s="17" t="n"/>
    </row>
    <row r="46" ht="51" customFormat="1" customHeight="1" s="5">
      <c r="A46" s="20" t="inlineStr">
        <is>
          <t>080203142</t>
        </is>
      </c>
      <c r="B46" s="21" t="inlineStr">
        <is>
          <t>Example</t>
        </is>
      </c>
      <c r="C46" s="21" t="inlineStr">
        <is>
          <t>Example</t>
        </is>
      </c>
      <c r="D46" s="21" t="inlineStr">
        <is>
          <t>Example</t>
        </is>
      </c>
      <c r="E46" s="21" t="inlineStr">
        <is>
          <t>Example</t>
        </is>
      </c>
      <c r="F46" s="20" t="inlineStr">
        <is>
          <t>Испания</t>
        </is>
      </c>
      <c r="G46" s="21" t="inlineStr">
        <is>
          <t>Example</t>
        </is>
      </c>
      <c r="H46" s="21" t="inlineStr">
        <is>
          <t>Example</t>
        </is>
      </c>
      <c r="I46" s="21" t="inlineStr">
        <is>
          <t>Example</t>
        </is>
      </c>
      <c r="J46" s="18" t="n">
        <v>3</v>
      </c>
      <c r="K46" s="22" t="inlineStr">
        <is>
          <t>Шт</t>
        </is>
      </c>
      <c r="L46" s="2" t="n">
        <v>0.1</v>
      </c>
      <c r="M46" s="3" t="n">
        <v>0.15</v>
      </c>
      <c r="N46" s="23" t="inlineStr">
        <is>
          <t>Полиэтиленовый пакет</t>
        </is>
      </c>
      <c r="O46" s="21" t="inlineStr">
        <is>
          <t>Example</t>
        </is>
      </c>
      <c r="P46" s="4" t="n">
        <v>1008.48</v>
      </c>
      <c r="Q46" s="4">
        <f>P46*J46</f>
        <v/>
      </c>
      <c r="R46" s="21" t="n"/>
      <c r="S46" s="17" t="n"/>
      <c r="T46" s="17" t="n"/>
    </row>
    <row r="47" ht="61.2" customFormat="1" customHeight="1" s="5">
      <c r="A47" s="20" t="inlineStr">
        <is>
          <t>080202012</t>
        </is>
      </c>
      <c r="B47" s="21" t="inlineStr">
        <is>
          <t>Example</t>
        </is>
      </c>
      <c r="C47" s="21" t="inlineStr">
        <is>
          <t>Example</t>
        </is>
      </c>
      <c r="D47" s="21" t="inlineStr">
        <is>
          <t>Example</t>
        </is>
      </c>
      <c r="E47" s="21" t="inlineStr">
        <is>
          <t>Example</t>
        </is>
      </c>
      <c r="F47" s="20" t="inlineStr">
        <is>
          <t>Испания</t>
        </is>
      </c>
      <c r="G47" s="21" t="inlineStr">
        <is>
          <t>Example</t>
        </is>
      </c>
      <c r="H47" s="21" t="inlineStr">
        <is>
          <t>Example</t>
        </is>
      </c>
      <c r="I47" s="21" t="inlineStr">
        <is>
          <t>Example</t>
        </is>
      </c>
      <c r="J47" s="18" t="n">
        <v>1</v>
      </c>
      <c r="K47" s="22" t="inlineStr">
        <is>
          <t>Шт</t>
        </is>
      </c>
      <c r="L47" s="2" t="n">
        <v>0.05</v>
      </c>
      <c r="M47" s="3" t="n">
        <v>0.1</v>
      </c>
      <c r="N47" s="23" t="inlineStr">
        <is>
          <t>Полиэтиленовый пакет</t>
        </is>
      </c>
      <c r="O47" s="21" t="inlineStr">
        <is>
          <t>Example</t>
        </is>
      </c>
      <c r="P47" s="4" t="n">
        <v>1454.2</v>
      </c>
      <c r="Q47" s="4">
        <f>P47*J47</f>
        <v/>
      </c>
      <c r="R47" s="21" t="n"/>
      <c r="S47" s="17" t="n"/>
      <c r="T47" s="18" t="n"/>
    </row>
    <row r="48" ht="40.8" customFormat="1" customHeight="1" s="5">
      <c r="A48" s="20" t="inlineStr">
        <is>
          <t>020303091</t>
        </is>
      </c>
      <c r="B48" s="21" t="inlineStr">
        <is>
          <t>Example</t>
        </is>
      </c>
      <c r="C48" s="21" t="inlineStr">
        <is>
          <t>Example</t>
        </is>
      </c>
      <c r="D48" s="21" t="inlineStr">
        <is>
          <t>Example</t>
        </is>
      </c>
      <c r="E48" s="21" t="inlineStr">
        <is>
          <t>Example</t>
        </is>
      </c>
      <c r="F48" s="20" t="inlineStr">
        <is>
          <t>Испания</t>
        </is>
      </c>
      <c r="G48" s="21" t="inlineStr">
        <is>
          <t>Example</t>
        </is>
      </c>
      <c r="H48" s="21" t="inlineStr">
        <is>
          <t>Example</t>
        </is>
      </c>
      <c r="I48" s="21" t="inlineStr">
        <is>
          <t>Example</t>
        </is>
      </c>
      <c r="J48" s="18" t="n">
        <v>5</v>
      </c>
      <c r="K48" s="22" t="inlineStr">
        <is>
          <t>Шт</t>
        </is>
      </c>
      <c r="L48" s="2" t="n">
        <v>0.1</v>
      </c>
      <c r="M48" s="3" t="n">
        <v>0.15</v>
      </c>
      <c r="N48" s="23" t="inlineStr">
        <is>
          <t>Полиэтиленовый пакет</t>
        </is>
      </c>
      <c r="O48" s="21" t="inlineStr">
        <is>
          <t>Example</t>
        </is>
      </c>
      <c r="P48" s="4" t="n">
        <v>1482.27</v>
      </c>
      <c r="Q48" s="4">
        <f>P48*J48</f>
        <v/>
      </c>
      <c r="R48" s="21" t="n"/>
      <c r="S48" s="17" t="n"/>
      <c r="T48" s="18" t="n"/>
    </row>
    <row r="49" ht="51" customFormat="1" customHeight="1" s="5">
      <c r="A49" s="20" t="inlineStr">
        <is>
          <t>080203141</t>
        </is>
      </c>
      <c r="B49" s="21" t="inlineStr">
        <is>
          <t>Example</t>
        </is>
      </c>
      <c r="C49" s="21" t="inlineStr">
        <is>
          <t>Example</t>
        </is>
      </c>
      <c r="D49" s="21" t="inlineStr">
        <is>
          <t>Example</t>
        </is>
      </c>
      <c r="E49" s="21" t="inlineStr">
        <is>
          <t>Example</t>
        </is>
      </c>
      <c r="F49" s="20" t="inlineStr">
        <is>
          <t>Испания</t>
        </is>
      </c>
      <c r="G49" s="21" t="inlineStr">
        <is>
          <t>Example</t>
        </is>
      </c>
      <c r="H49" s="21" t="inlineStr">
        <is>
          <t>Example</t>
        </is>
      </c>
      <c r="I49" s="21" t="inlineStr">
        <is>
          <t>Example</t>
        </is>
      </c>
      <c r="J49" s="18" t="n">
        <v>10</v>
      </c>
      <c r="K49" s="22" t="inlineStr">
        <is>
          <t>Шт</t>
        </is>
      </c>
      <c r="L49" s="2" t="n">
        <v>0.5</v>
      </c>
      <c r="M49" s="3" t="n">
        <v>0.7</v>
      </c>
      <c r="N49" s="23" t="inlineStr">
        <is>
          <t>Полиэтиленовый пакет</t>
        </is>
      </c>
      <c r="O49" s="21" t="inlineStr">
        <is>
          <t>Example</t>
        </is>
      </c>
      <c r="P49" s="4" t="n">
        <v>1602.12</v>
      </c>
      <c r="Q49" s="4">
        <f>P49*J49</f>
        <v/>
      </c>
      <c r="R49" s="21" t="n"/>
      <c r="S49" s="17" t="n"/>
      <c r="T49" s="17" t="n"/>
    </row>
    <row r="50" ht="91.8" customFormat="1" customHeight="1" s="5">
      <c r="A50" s="20" t="inlineStr">
        <is>
          <t>F40401</t>
        </is>
      </c>
      <c r="B50" s="21" t="inlineStr">
        <is>
          <t>Example</t>
        </is>
      </c>
      <c r="C50" s="21" t="inlineStr">
        <is>
          <t>Example</t>
        </is>
      </c>
      <c r="D50" s="21" t="inlineStr">
        <is>
          <t>Example</t>
        </is>
      </c>
      <c r="E50" s="21" t="inlineStr">
        <is>
          <t>Example</t>
        </is>
      </c>
      <c r="F50" s="20" t="inlineStr">
        <is>
          <t>Испания</t>
        </is>
      </c>
      <c r="G50" s="21" t="inlineStr">
        <is>
          <t>Example</t>
        </is>
      </c>
      <c r="H50" s="21" t="inlineStr">
        <is>
          <t>Example</t>
        </is>
      </c>
      <c r="I50" s="21" t="inlineStr">
        <is>
          <t>Example</t>
        </is>
      </c>
      <c r="J50" s="18" t="n">
        <v>1</v>
      </c>
      <c r="K50" s="22" t="inlineStr">
        <is>
          <t>Шт</t>
        </is>
      </c>
      <c r="L50" s="2" t="n">
        <v>1</v>
      </c>
      <c r="M50" s="3" t="n">
        <v>1.2</v>
      </c>
      <c r="N50" s="23" t="inlineStr">
        <is>
          <t>Пластиковая бутылка</t>
        </is>
      </c>
      <c r="O50" s="21" t="inlineStr">
        <is>
          <t>Example</t>
        </is>
      </c>
      <c r="P50" s="4" t="n">
        <v>1577.22</v>
      </c>
      <c r="Q50" s="4">
        <f>P50*J50</f>
        <v/>
      </c>
      <c r="R50" s="21" t="n"/>
      <c r="S50" s="17" t="n"/>
      <c r="T50" s="17" t="n"/>
    </row>
    <row r="51" ht="51" customFormat="1" customHeight="1" s="5">
      <c r="A51" s="20" t="inlineStr">
        <is>
          <t>F169I2</t>
        </is>
      </c>
      <c r="B51" s="21" t="inlineStr">
        <is>
          <t>Example</t>
        </is>
      </c>
      <c r="C51" s="21" t="inlineStr">
        <is>
          <t>Example</t>
        </is>
      </c>
      <c r="D51" s="21" t="inlineStr">
        <is>
          <t>Example</t>
        </is>
      </c>
      <c r="E51" s="21" t="inlineStr">
        <is>
          <t>Example</t>
        </is>
      </c>
      <c r="F51" s="20" t="inlineStr">
        <is>
          <t>Испания</t>
        </is>
      </c>
      <c r="G51" s="21" t="inlineStr">
        <is>
          <t>Example</t>
        </is>
      </c>
      <c r="H51" s="21" t="inlineStr">
        <is>
          <t>Example</t>
        </is>
      </c>
      <c r="I51" s="21" t="inlineStr">
        <is>
          <t>Example</t>
        </is>
      </c>
      <c r="J51" s="18" t="n">
        <v>1</v>
      </c>
      <c r="K51" s="22" t="inlineStr">
        <is>
          <t>Шт</t>
        </is>
      </c>
      <c r="L51" s="2" t="n">
        <v>0.5</v>
      </c>
      <c r="M51" s="3" t="n">
        <v>0.6</v>
      </c>
      <c r="N51" s="23" t="inlineStr">
        <is>
          <t>Полиэтиленовый пакет</t>
        </is>
      </c>
      <c r="O51" s="21" t="inlineStr">
        <is>
          <t>Example</t>
        </is>
      </c>
      <c r="P51" s="4" t="n">
        <v>1237.04</v>
      </c>
      <c r="Q51" s="4">
        <f>P51*J51</f>
        <v/>
      </c>
      <c r="R51" s="21" t="inlineStr">
        <is>
          <t>Example</t>
        </is>
      </c>
      <c r="S51" s="17" t="n">
        <v>44259</v>
      </c>
      <c r="T51" s="17" t="n">
        <v>45353</v>
      </c>
    </row>
    <row r="52" ht="51" customFormat="1" customHeight="1" s="5">
      <c r="A52" s="20" t="inlineStr">
        <is>
          <t>OBM000240</t>
        </is>
      </c>
      <c r="B52" s="21" t="inlineStr">
        <is>
          <t>Example</t>
        </is>
      </c>
      <c r="C52" s="21" t="inlineStr">
        <is>
          <t>Example</t>
        </is>
      </c>
      <c r="D52" s="21" t="inlineStr">
        <is>
          <t>Example</t>
        </is>
      </c>
      <c r="E52" s="21" t="inlineStr">
        <is>
          <t>Example</t>
        </is>
      </c>
      <c r="F52" s="20" t="inlineStr">
        <is>
          <t>Испания</t>
        </is>
      </c>
      <c r="G52" s="21" t="inlineStr">
        <is>
          <t>Example</t>
        </is>
      </c>
      <c r="H52" s="21" t="inlineStr">
        <is>
          <t>Example</t>
        </is>
      </c>
      <c r="I52" s="21" t="inlineStr">
        <is>
          <t>Example</t>
        </is>
      </c>
      <c r="J52" s="18" t="inlineStr">
        <is>
          <t>1</t>
        </is>
      </c>
      <c r="K52" s="22" t="inlineStr">
        <is>
          <t>Шт</t>
        </is>
      </c>
      <c r="L52" s="2" t="n">
        <v>0.05</v>
      </c>
      <c r="M52" s="3" t="n">
        <v>0.1</v>
      </c>
      <c r="N52" s="23" t="inlineStr">
        <is>
          <t>Полиэтиленовый пакет</t>
        </is>
      </c>
      <c r="O52" s="21" t="inlineStr">
        <is>
          <t>Example</t>
        </is>
      </c>
      <c r="P52" s="4" t="n">
        <v>11.21</v>
      </c>
      <c r="Q52" s="4">
        <f>P52*J52</f>
        <v/>
      </c>
      <c r="R52" s="21" t="n"/>
      <c r="S52" s="17" t="n"/>
      <c r="T52" s="17" t="n"/>
    </row>
    <row r="53" ht="51" customFormat="1" customHeight="1" s="5">
      <c r="A53" s="20" t="inlineStr">
        <is>
          <t>OBM000001</t>
        </is>
      </c>
      <c r="B53" s="21" t="inlineStr">
        <is>
          <t>Example</t>
        </is>
      </c>
      <c r="C53" s="21" t="inlineStr">
        <is>
          <t>Example</t>
        </is>
      </c>
      <c r="D53" s="21" t="inlineStr">
        <is>
          <t>Example</t>
        </is>
      </c>
      <c r="E53" s="21" t="inlineStr">
        <is>
          <t>Example</t>
        </is>
      </c>
      <c r="F53" s="20" t="inlineStr">
        <is>
          <t>Испания</t>
        </is>
      </c>
      <c r="G53" s="21" t="inlineStr">
        <is>
          <t>Example</t>
        </is>
      </c>
      <c r="H53" s="21" t="inlineStr">
        <is>
          <t>Example</t>
        </is>
      </c>
      <c r="I53" s="21" t="inlineStr">
        <is>
          <t>Example</t>
        </is>
      </c>
      <c r="J53" s="18" t="inlineStr">
        <is>
          <t>1</t>
        </is>
      </c>
      <c r="K53" s="22" t="inlineStr">
        <is>
          <t>Шт</t>
        </is>
      </c>
      <c r="L53" s="2" t="n">
        <v>0.2</v>
      </c>
      <c r="M53" s="3" t="n">
        <v>0.3</v>
      </c>
      <c r="N53" s="23" t="inlineStr">
        <is>
          <t>Картонная коробка</t>
        </is>
      </c>
      <c r="O53" s="21" t="inlineStr">
        <is>
          <t>Example</t>
        </is>
      </c>
      <c r="P53" s="4" t="n">
        <v>734.5599999999999</v>
      </c>
      <c r="Q53" s="4">
        <f>P53*J53</f>
        <v/>
      </c>
      <c r="R53" s="21" t="inlineStr">
        <is>
          <t>Example</t>
        </is>
      </c>
      <c r="S53" s="17" t="n">
        <v>44259</v>
      </c>
      <c r="T53" s="17" t="n">
        <v>45353</v>
      </c>
    </row>
    <row r="54" ht="20.4" customHeight="1" s="1">
      <c r="G54" s="7" t="inlineStr">
        <is>
          <t xml:space="preserve"> </t>
        </is>
      </c>
      <c r="L54" s="7" t="inlineStr">
        <is>
          <t>Вес нетто кг</t>
        </is>
      </c>
      <c r="M54" s="7" t="inlineStr">
        <is>
          <t>Вес брутто кг</t>
        </is>
      </c>
    </row>
    <row r="55">
      <c r="L55" s="10">
        <f>SUBTOTAL(9,L2:L53)</f>
        <v/>
      </c>
      <c r="M55" s="10">
        <f>SUBTOTAL(9,M2:M53)</f>
        <v/>
      </c>
      <c r="Q55" s="10">
        <f>SUBTOTAL(9,Q2:Q53)</f>
        <v/>
      </c>
    </row>
    <row r="56"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</row>
    <row r="57">
      <c r="M57" s="11" t="n"/>
    </row>
  </sheetData>
  <autoFilter ref="A1:T54"/>
  <pageMargins left="0" right="0" top="0" bottom="0" header="0" footer="0"/>
  <pageSetup orientation="landscape" paperSize="9" scale="78" fitToHeight="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Ирина Мухина</dc:creator>
  <dcterms:created xsi:type="dcterms:W3CDTF">2016-12-07T07:37:17Z</dcterms:created>
  <dcterms:modified xsi:type="dcterms:W3CDTF">2021-05-31T16:25:53Z</dcterms:modified>
  <cp:lastModifiedBy>Unique Snowflake</cp:lastModifiedBy>
  <cp:version>0906.0100.01</cp:version>
  <cp:revision>89</cp:revision>
</cp:coreProperties>
</file>